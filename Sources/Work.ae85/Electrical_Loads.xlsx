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4"/>
  <workbookPr codeName="ThisWorkbook"/>
  <mc:AlternateContent xmlns:mc="http://schemas.openxmlformats.org/markup-compatibility/2006">
    <mc:Choice Requires="x15">
      <x15ac:absPath xmlns:x15ac="http://schemas.microsoft.com/office/spreadsheetml/2010/11/ac" url="C:\Users\Admin\Downloads\"/>
    </mc:Choice>
  </mc:AlternateContent>
  <xr:revisionPtr revIDLastSave="0" documentId="13_ncr:1_{F9AE759F-4ABA-4B55-AF0C-1872B606AC53}" xr6:coauthVersionLast="47" xr6:coauthVersionMax="47" xr10:uidLastSave="{00000000-0000-0000-0000-000000000000}"/>
  <bookViews>
    <workbookView xWindow="-96" yWindow="0" windowWidth="11712" windowHeight="13056" tabRatio="798" firstSheet="5" activeTab="7" xr2:uid="{00000000-000D-0000-FFFF-FFFF00000000}"/>
  </bookViews>
  <sheets>
    <sheet name="عبد الله الشايب" sheetId="1" r:id="rId1"/>
    <sheet name=" محمد سلامة-عروستي" sheetId="2" r:id="rId2"/>
    <sheet name="مروة-عروستي" sheetId="3" r:id="rId3"/>
    <sheet name="Loads-1" sheetId="4" r:id="rId4"/>
    <sheet name="محمد السيد" sheetId="5" r:id="rId5"/>
    <sheet name="47631100لحوم قناة السويس" sheetId="6" r:id="rId6"/>
    <sheet name="فارما بوكس" sheetId="7" r:id="rId7"/>
    <sheet name="حلواني لينزا"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 i="8" l="1"/>
  <c r="E10" i="8"/>
  <c r="D3" i="8"/>
  <c r="E3" i="8" s="1"/>
  <c r="D4" i="8"/>
  <c r="E4" i="8" s="1"/>
  <c r="D5" i="8"/>
  <c r="E5" i="8" s="1"/>
  <c r="D6" i="8"/>
  <c r="E6" i="8" s="1"/>
  <c r="D7" i="8"/>
  <c r="D8" i="8"/>
  <c r="E8" i="8" s="1"/>
  <c r="D9" i="8"/>
  <c r="E9" i="8" s="1"/>
  <c r="D10" i="8"/>
  <c r="D11" i="8"/>
  <c r="E11" i="8" s="1"/>
  <c r="D12" i="8"/>
  <c r="E12" i="8" s="1"/>
  <c r="D13" i="8"/>
  <c r="E13" i="8" s="1"/>
  <c r="D14" i="8"/>
  <c r="E14" i="8" s="1"/>
  <c r="D15" i="8"/>
  <c r="E15" i="8" s="1"/>
  <c r="D16" i="8"/>
  <c r="E16" i="8" s="1"/>
  <c r="D17" i="8"/>
  <c r="E17" i="8" s="1"/>
  <c r="D18" i="8"/>
  <c r="E18" i="8" s="1"/>
  <c r="D19" i="8"/>
  <c r="E19" i="8" s="1"/>
  <c r="D20" i="8"/>
  <c r="E20" i="8" s="1"/>
  <c r="D21" i="8"/>
  <c r="E21" i="8" s="1"/>
  <c r="D22" i="8"/>
  <c r="E22" i="8" s="1"/>
  <c r="D23" i="8"/>
  <c r="E23" i="8" s="1"/>
  <c r="D24" i="8"/>
  <c r="E24" i="8" s="1"/>
  <c r="D25" i="8"/>
  <c r="E25" i="8" s="1"/>
  <c r="D26" i="8"/>
  <c r="E26" i="8" s="1"/>
  <c r="D27" i="8"/>
  <c r="E27" i="8" s="1"/>
  <c r="D28" i="8"/>
  <c r="E28" i="8" s="1"/>
  <c r="D29" i="8"/>
  <c r="E29" i="8" s="1"/>
  <c r="D30" i="8"/>
  <c r="E30" i="8" s="1"/>
  <c r="D31" i="8"/>
  <c r="E31" i="8" s="1"/>
  <c r="D32" i="8"/>
  <c r="E32" i="8" s="1"/>
  <c r="D33" i="8"/>
  <c r="E33" i="8" s="1"/>
  <c r="D34" i="8"/>
  <c r="E34" i="8" s="1"/>
  <c r="D35" i="8"/>
  <c r="E35" i="8" s="1"/>
  <c r="D36" i="8"/>
  <c r="E36" i="8" s="1"/>
  <c r="D37" i="8"/>
  <c r="E37" i="8" s="1"/>
  <c r="D38" i="8"/>
  <c r="E38" i="8" s="1"/>
  <c r="D39" i="8"/>
  <c r="E39" i="8" s="1"/>
  <c r="D40" i="8"/>
  <c r="E40" i="8" s="1"/>
  <c r="D41" i="8"/>
  <c r="E41" i="8" s="1"/>
  <c r="D42" i="8"/>
  <c r="E42" i="8" s="1"/>
  <c r="D43" i="8"/>
  <c r="E43" i="8" s="1"/>
  <c r="D44" i="8"/>
  <c r="E44" i="8" s="1"/>
  <c r="D45" i="8"/>
  <c r="E45" i="8" s="1"/>
  <c r="D46" i="8"/>
  <c r="E46" i="8" s="1"/>
  <c r="D47" i="8"/>
  <c r="E47" i="8" s="1"/>
  <c r="D48" i="8"/>
  <c r="E48" i="8" s="1"/>
  <c r="D49" i="8"/>
  <c r="E49" i="8" s="1"/>
  <c r="D50" i="8"/>
  <c r="E50" i="8" s="1"/>
  <c r="D51" i="8"/>
  <c r="E51" i="8" s="1"/>
  <c r="D52" i="8"/>
  <c r="E52" i="8" s="1"/>
  <c r="D53" i="8"/>
  <c r="E53" i="8" s="1"/>
  <c r="D54" i="8"/>
  <c r="E54" i="8" s="1"/>
  <c r="D2" i="8"/>
  <c r="E2" i="8" s="1"/>
  <c r="D3" i="7"/>
  <c r="E3" i="7" s="1"/>
  <c r="D4" i="7"/>
  <c r="E4" i="7" s="1"/>
  <c r="D5" i="7"/>
  <c r="E5" i="7" s="1"/>
  <c r="D6" i="7"/>
  <c r="E6" i="7" s="1"/>
  <c r="D7" i="7"/>
  <c r="E7" i="7" s="1"/>
  <c r="D8" i="7"/>
  <c r="E8" i="7" s="1"/>
  <c r="D9" i="7"/>
  <c r="E9" i="7" s="1"/>
  <c r="D10" i="7"/>
  <c r="E10" i="7" s="1"/>
  <c r="D11" i="7"/>
  <c r="E11" i="7"/>
  <c r="D12" i="7"/>
  <c r="E12" i="7" s="1"/>
  <c r="D13" i="7"/>
  <c r="E13" i="7" s="1"/>
  <c r="D14" i="7"/>
  <c r="E14" i="7" s="1"/>
  <c r="D15" i="7"/>
  <c r="E15" i="7" s="1"/>
  <c r="D16" i="7"/>
  <c r="E16" i="7" s="1"/>
  <c r="D17" i="7"/>
  <c r="E17" i="7" s="1"/>
  <c r="D18" i="7"/>
  <c r="E18" i="7" s="1"/>
  <c r="D19" i="7"/>
  <c r="E19" i="7" s="1"/>
  <c r="D20" i="7"/>
  <c r="E20" i="7"/>
  <c r="D21" i="7"/>
  <c r="E21" i="7"/>
  <c r="D22" i="7"/>
  <c r="E22" i="7"/>
  <c r="D23" i="7"/>
  <c r="E23" i="7" s="1"/>
  <c r="D24" i="7"/>
  <c r="E24" i="7" s="1"/>
  <c r="D25" i="7"/>
  <c r="E25" i="7"/>
  <c r="D26" i="7"/>
  <c r="E26" i="7" s="1"/>
  <c r="D27" i="7"/>
  <c r="E27" i="7" s="1"/>
  <c r="D28" i="7"/>
  <c r="E28" i="7" s="1"/>
  <c r="D29" i="7"/>
  <c r="E29" i="7" s="1"/>
  <c r="D30" i="7"/>
  <c r="E30" i="7" s="1"/>
  <c r="D31" i="7"/>
  <c r="E31" i="7" s="1"/>
  <c r="D2" i="7"/>
  <c r="E2" i="7" s="1"/>
  <c r="D3" i="6"/>
  <c r="E3" i="6" s="1"/>
  <c r="D4" i="6"/>
  <c r="E4" i="6" s="1"/>
  <c r="D5" i="6"/>
  <c r="E5" i="6" s="1"/>
  <c r="D6" i="6"/>
  <c r="E6" i="6" s="1"/>
  <c r="D7" i="6"/>
  <c r="E7" i="6" s="1"/>
  <c r="D8" i="6"/>
  <c r="E8" i="6" s="1"/>
  <c r="D9" i="6"/>
  <c r="E9" i="6" s="1"/>
  <c r="D10" i="6"/>
  <c r="E10" i="6" s="1"/>
  <c r="D11" i="6"/>
  <c r="E11" i="6" s="1"/>
  <c r="D12" i="6"/>
  <c r="E12" i="6" s="1"/>
  <c r="D13" i="6"/>
  <c r="E13" i="6" s="1"/>
  <c r="D14" i="6"/>
  <c r="E14" i="6" s="1"/>
  <c r="D15" i="6"/>
  <c r="E15" i="6" s="1"/>
  <c r="D16" i="6"/>
  <c r="E16" i="6" s="1"/>
  <c r="D17" i="6"/>
  <c r="E17" i="6" s="1"/>
  <c r="D18" i="6"/>
  <c r="E18" i="6" s="1"/>
  <c r="D19" i="6"/>
  <c r="E19" i="6" s="1"/>
  <c r="D20" i="6"/>
  <c r="E20" i="6" s="1"/>
  <c r="D21" i="6"/>
  <c r="E21" i="6" s="1"/>
  <c r="D2" i="6"/>
  <c r="E2" i="6" s="1"/>
  <c r="D3" i="5"/>
  <c r="E3" i="5" s="1"/>
  <c r="D4" i="5"/>
  <c r="E4" i="5" s="1"/>
  <c r="D2" i="5"/>
  <c r="E2" i="5" s="1"/>
  <c r="D3" i="4"/>
  <c r="E3" i="4"/>
  <c r="D4" i="4"/>
  <c r="E4" i="4"/>
  <c r="D5" i="4"/>
  <c r="E5" i="4"/>
  <c r="D6" i="4"/>
  <c r="E6" i="4"/>
  <c r="D7" i="4"/>
  <c r="E7" i="4"/>
  <c r="D8" i="4"/>
  <c r="E8" i="4"/>
  <c r="D9" i="4"/>
  <c r="E9" i="4"/>
  <c r="D10" i="4"/>
  <c r="E10" i="4"/>
  <c r="D11" i="4"/>
  <c r="E11" i="4" s="1"/>
  <c r="D12" i="4"/>
  <c r="E12" i="4"/>
  <c r="D13" i="4"/>
  <c r="E13" i="4"/>
  <c r="D14" i="4"/>
  <c r="E14" i="4"/>
  <c r="D15" i="4"/>
  <c r="E15" i="4"/>
  <c r="D16" i="4"/>
  <c r="E16" i="4"/>
  <c r="D17" i="4"/>
  <c r="E17" i="4"/>
  <c r="D18" i="4"/>
  <c r="E18" i="4"/>
  <c r="D19" i="4"/>
  <c r="E19" i="4"/>
  <c r="D20" i="4"/>
  <c r="E20" i="4"/>
  <c r="D21" i="4"/>
  <c r="E21" i="4" s="1"/>
  <c r="D22" i="4"/>
  <c r="E22" i="4"/>
  <c r="D23" i="4"/>
  <c r="E23" i="4" s="1"/>
  <c r="D24" i="4"/>
  <c r="E24" i="4" s="1"/>
  <c r="D25" i="4"/>
  <c r="E25" i="4" s="1"/>
  <c r="D26" i="4"/>
  <c r="E26" i="4" s="1"/>
  <c r="D27" i="4"/>
  <c r="E27" i="4" s="1"/>
  <c r="D28" i="4"/>
  <c r="E28" i="4" s="1"/>
  <c r="D29" i="4"/>
  <c r="E29" i="4"/>
  <c r="D30" i="4"/>
  <c r="E30" i="4" s="1"/>
  <c r="D31" i="4"/>
  <c r="E31" i="4"/>
  <c r="D32" i="4"/>
  <c r="E32" i="4" s="1"/>
  <c r="D33" i="4"/>
  <c r="E33" i="4" s="1"/>
  <c r="D34" i="4"/>
  <c r="E34" i="4" s="1"/>
  <c r="D35" i="4"/>
  <c r="E35" i="4" s="1"/>
  <c r="D2" i="4"/>
  <c r="E2" i="4" s="1"/>
  <c r="D3" i="3"/>
  <c r="E3" i="3" s="1"/>
  <c r="D4" i="3"/>
  <c r="E4" i="3" s="1"/>
  <c r="D5" i="3"/>
  <c r="E5" i="3" s="1"/>
  <c r="D6" i="3"/>
  <c r="E6" i="3" s="1"/>
  <c r="D7" i="3"/>
  <c r="E7" i="3" s="1"/>
  <c r="D8" i="3"/>
  <c r="E8" i="3" s="1"/>
  <c r="D9" i="3"/>
  <c r="E9" i="3" s="1"/>
  <c r="D10" i="3"/>
  <c r="E10" i="3" s="1"/>
  <c r="D11" i="3"/>
  <c r="E11" i="3" s="1"/>
  <c r="D12" i="3"/>
  <c r="E12" i="3" s="1"/>
  <c r="D13" i="3"/>
  <c r="D14" i="3"/>
  <c r="D15" i="3"/>
  <c r="D16" i="3"/>
  <c r="D17" i="3"/>
  <c r="D18" i="3"/>
  <c r="D19" i="3"/>
  <c r="D20" i="3"/>
  <c r="D21" i="3"/>
  <c r="D22" i="3"/>
  <c r="D23" i="3"/>
  <c r="D24" i="3"/>
  <c r="E13" i="3"/>
  <c r="E14" i="3"/>
  <c r="E15" i="3"/>
  <c r="E16" i="3"/>
  <c r="E17" i="3"/>
  <c r="E18" i="3"/>
  <c r="E19" i="3"/>
  <c r="E20" i="3"/>
  <c r="E21" i="3"/>
  <c r="E22" i="3"/>
  <c r="E23" i="3"/>
  <c r="E24" i="3"/>
  <c r="D2" i="3"/>
  <c r="E2" i="3" s="1"/>
  <c r="D3" i="2"/>
  <c r="E3" i="2" s="1"/>
  <c r="D4" i="2"/>
  <c r="E4" i="2" s="1"/>
  <c r="D5" i="2"/>
  <c r="E5" i="2" s="1"/>
  <c r="D6" i="2"/>
  <c r="E6" i="2" s="1"/>
  <c r="D7" i="2"/>
  <c r="E7" i="2" s="1"/>
  <c r="D8" i="2"/>
  <c r="E8" i="2" s="1"/>
  <c r="D9" i="2"/>
  <c r="E9" i="2" s="1"/>
  <c r="D10" i="2"/>
  <c r="E10" i="2" s="1"/>
  <c r="D11" i="2"/>
  <c r="E11" i="2" s="1"/>
  <c r="D12" i="2"/>
  <c r="E12" i="2" s="1"/>
  <c r="D13" i="2"/>
  <c r="E13" i="2" s="1"/>
  <c r="D14" i="2"/>
  <c r="E14" i="2" s="1"/>
  <c r="D15" i="2"/>
  <c r="E15" i="2" s="1"/>
  <c r="D16" i="2"/>
  <c r="E16" i="2" s="1"/>
  <c r="D17" i="2"/>
  <c r="E17" i="2" s="1"/>
  <c r="D18" i="2"/>
  <c r="E18" i="2" s="1"/>
  <c r="D19" i="2"/>
  <c r="E19" i="2" s="1"/>
  <c r="D20" i="2"/>
  <c r="E20" i="2" s="1"/>
  <c r="D21" i="2"/>
  <c r="E21" i="2" s="1"/>
  <c r="D22" i="2"/>
  <c r="E22" i="2" s="1"/>
  <c r="D23" i="2"/>
  <c r="E23" i="2" s="1"/>
  <c r="D2" i="2"/>
  <c r="E2" i="2" s="1"/>
  <c r="C36" i="1"/>
  <c r="D3" i="1"/>
  <c r="E3" i="1" s="1"/>
  <c r="D4" i="1"/>
  <c r="E4" i="1" s="1"/>
  <c r="D5" i="1"/>
  <c r="E5" i="1" s="1"/>
  <c r="D6" i="1"/>
  <c r="D7" i="1"/>
  <c r="D8" i="1"/>
  <c r="E8" i="1" s="1"/>
  <c r="D9" i="1"/>
  <c r="E9" i="1" s="1"/>
  <c r="D10" i="1"/>
  <c r="E10" i="1" s="1"/>
  <c r="D11" i="1"/>
  <c r="E11" i="1" s="1"/>
  <c r="D12" i="1"/>
  <c r="E12" i="1" s="1"/>
  <c r="D13" i="1"/>
  <c r="E13" i="1" s="1"/>
  <c r="D14" i="1"/>
  <c r="E14" i="1" s="1"/>
  <c r="D15" i="1"/>
  <c r="E15" i="1" s="1"/>
  <c r="D16" i="1"/>
  <c r="E16" i="1" s="1"/>
  <c r="D17" i="1"/>
  <c r="E17" i="1" s="1"/>
  <c r="D18" i="1"/>
  <c r="E18" i="1" s="1"/>
  <c r="D19" i="1"/>
  <c r="E19" i="1" s="1"/>
  <c r="D20" i="1"/>
  <c r="E20" i="1" s="1"/>
  <c r="D21" i="1"/>
  <c r="E21" i="1" s="1"/>
  <c r="D22" i="1"/>
  <c r="E22" i="1" s="1"/>
  <c r="D23" i="1"/>
  <c r="E23" i="1" s="1"/>
  <c r="D24" i="1"/>
  <c r="E24" i="1" s="1"/>
  <c r="D25" i="1"/>
  <c r="E25" i="1" s="1"/>
  <c r="D26" i="1"/>
  <c r="E26" i="1" s="1"/>
  <c r="D27" i="1"/>
  <c r="E27" i="1" s="1"/>
  <c r="D28" i="1"/>
  <c r="E28" i="1" s="1"/>
  <c r="D29" i="1"/>
  <c r="E29" i="1" s="1"/>
  <c r="D30" i="1"/>
  <c r="E30" i="1" s="1"/>
  <c r="D31" i="1"/>
  <c r="E31" i="1" s="1"/>
  <c r="D32" i="1"/>
  <c r="E32" i="1" s="1"/>
  <c r="D33" i="1"/>
  <c r="E33" i="1" s="1"/>
  <c r="D34" i="1"/>
  <c r="E34" i="1" s="1"/>
  <c r="D35" i="1"/>
  <c r="E35" i="1" s="1"/>
  <c r="E7" i="1"/>
  <c r="D2" i="1"/>
  <c r="E2" i="1" s="1"/>
  <c r="E6" i="1" l="1"/>
  <c r="E36" i="1" s="1"/>
  <c r="D36" i="1"/>
</calcChain>
</file>

<file path=xl/sharedStrings.xml><?xml version="1.0" encoding="utf-8"?>
<sst xmlns="http://schemas.openxmlformats.org/spreadsheetml/2006/main" count="295" uniqueCount="173">
  <si>
    <t/>
  </si>
  <si>
    <t>الحمل</t>
  </si>
  <si>
    <t>العدد</t>
  </si>
  <si>
    <t>وات</t>
  </si>
  <si>
    <t>مروحة-كبيرة</t>
  </si>
  <si>
    <t>11</t>
  </si>
  <si>
    <t>شنيور كهربائى</t>
  </si>
  <si>
    <t>6</t>
  </si>
  <si>
    <t>لمبات اضائة</t>
  </si>
  <si>
    <t>75</t>
  </si>
  <si>
    <t>مروحة تلاجة</t>
  </si>
  <si>
    <t>1</t>
  </si>
  <si>
    <t>ماكينة خياطة</t>
  </si>
  <si>
    <t>ماكينة خياطة كرتون</t>
  </si>
  <si>
    <t>مقص قماش</t>
  </si>
  <si>
    <t>صاروخ</t>
  </si>
  <si>
    <t>2</t>
  </si>
  <si>
    <t>شفاط صغير</t>
  </si>
  <si>
    <t>3</t>
  </si>
  <si>
    <t>شفاط كبير</t>
  </si>
  <si>
    <t>صينية قطع</t>
  </si>
  <si>
    <t>لوتر</t>
  </si>
  <si>
    <t>كولدير ماء</t>
  </si>
  <si>
    <t>منشار-كبير</t>
  </si>
  <si>
    <t>5</t>
  </si>
  <si>
    <t>الربوب</t>
  </si>
  <si>
    <t>التخانة</t>
  </si>
  <si>
    <t>منقار</t>
  </si>
  <si>
    <t>كمبروسر كبير</t>
  </si>
  <si>
    <t>كمبيوتر</t>
  </si>
  <si>
    <t>طابعة</t>
  </si>
  <si>
    <t>كشافات اضاءة</t>
  </si>
  <si>
    <t>9</t>
  </si>
  <si>
    <t>لمبة اضائة-اوبال</t>
  </si>
  <si>
    <t>111</t>
  </si>
  <si>
    <t>ليدات اضائة</t>
  </si>
  <si>
    <t>شريط ليد اضائة</t>
  </si>
  <si>
    <t>24</t>
  </si>
  <si>
    <t>مروحة-صغيرة</t>
  </si>
  <si>
    <t>مكيف</t>
  </si>
  <si>
    <t>تلاجة مكتب</t>
  </si>
  <si>
    <t>كاميرات مراقبة</t>
  </si>
  <si>
    <t>30</t>
  </si>
  <si>
    <t>شاشة كاميرات</t>
  </si>
  <si>
    <t>كاتيل</t>
  </si>
  <si>
    <t>سخان</t>
  </si>
  <si>
    <t>ماكينة فلوس</t>
  </si>
  <si>
    <t>ماكينة تحميص بن</t>
  </si>
  <si>
    <t>كمبروسور صغير</t>
  </si>
  <si>
    <t>الإجمالي</t>
  </si>
  <si>
    <t>اجمالي حصان</t>
  </si>
  <si>
    <t>اجمالي كيلو وات</t>
  </si>
  <si>
    <t>مكيف-2.25 حصان</t>
  </si>
  <si>
    <t>فريزر ارضي-1باب</t>
  </si>
  <si>
    <t>فريزر ارضى-2 باب</t>
  </si>
  <si>
    <t>ثلاجة</t>
  </si>
  <si>
    <t>ميكروويف-صغير</t>
  </si>
  <si>
    <t>فرن كهربائي</t>
  </si>
  <si>
    <t>قلاية-كهرباء</t>
  </si>
  <si>
    <t>ماكينة قهوة تركي</t>
  </si>
  <si>
    <t>كاتل شاي</t>
  </si>
  <si>
    <t>غسالة اتوماتيك</t>
  </si>
  <si>
    <t>غسالة اطباق</t>
  </si>
  <si>
    <t>مروحة حائط</t>
  </si>
  <si>
    <t>شفاط مطبخ-صامت</t>
  </si>
  <si>
    <t>شفاط حمام</t>
  </si>
  <si>
    <t>مروحة ستاند</t>
  </si>
  <si>
    <t>مبردة-3صنبور-سخن-بارد</t>
  </si>
  <si>
    <t>شاشة-65 بوصة</t>
  </si>
  <si>
    <t>شاشة-43 بوصة</t>
  </si>
  <si>
    <t>سخان كهربائى</t>
  </si>
  <si>
    <t>مكيف-1.5 حصان</t>
  </si>
  <si>
    <t>ليدات-بلح</t>
  </si>
  <si>
    <t>كشافات-ليد</t>
  </si>
  <si>
    <t>ماتور مياه</t>
  </si>
  <si>
    <t>كمبوروسور هواء - صغير</t>
  </si>
  <si>
    <t>لمبة ليد - بلب</t>
  </si>
  <si>
    <t>CNC-ماكينة حفر اخشاب</t>
  </si>
  <si>
    <t>ثلاجة عرض</t>
  </si>
  <si>
    <t>كشافات-تعليق-كبيرة</t>
  </si>
  <si>
    <t>كشافات-تعليق-متوسطة</t>
  </si>
  <si>
    <t>سبوت تعليق ليد</t>
  </si>
  <si>
    <t>تكييف-كبير</t>
  </si>
  <si>
    <t>مفرمة-لحوم</t>
  </si>
  <si>
    <t>ميزان كهرباء</t>
  </si>
  <si>
    <t>شاشات ليد</t>
  </si>
  <si>
    <t>مراوح سقف</t>
  </si>
  <si>
    <t>منشار لحوم</t>
  </si>
  <si>
    <t>كشافات-تعليق-صغيرة</t>
  </si>
  <si>
    <t>لمبات-ليد-دائرية-اوبال</t>
  </si>
  <si>
    <t>فريزر ارضى-صغير</t>
  </si>
  <si>
    <t>منظومة كاميرات مراقبة</t>
  </si>
  <si>
    <t>ثلاجة-تجميد-غرفة</t>
  </si>
  <si>
    <t>ثلاجة-تبريد-غرفة</t>
  </si>
  <si>
    <t>تكييف-كبير-لا يعمل وقت المرور</t>
  </si>
  <si>
    <t>مفرمة-لحوم-غير موصلة وقت المرور</t>
  </si>
  <si>
    <t>ثلاجات تبريد-كاونتر ارضى مفتوحة</t>
  </si>
  <si>
    <t>ثلاجة عرض باب واحد صغيرة الحجم</t>
  </si>
  <si>
    <t>ثلاجة عرض باب واحد متوسطة الحجم</t>
  </si>
  <si>
    <t>ثلاجة-تبريد-راسى-2 باب</t>
  </si>
  <si>
    <t>جهاز بصمة</t>
  </si>
  <si>
    <t>جهاز تسجيل كاميرات DVR</t>
  </si>
  <si>
    <t>جهاز كمبيوتر</t>
  </si>
  <si>
    <t>ديب فريز-2 باب-كبير الحجم</t>
  </si>
  <si>
    <t>ديب فريزر-لحوم-2 باب</t>
  </si>
  <si>
    <t>سبوت - كشاف اوبال</t>
  </si>
  <si>
    <t>ستارة كهربائية</t>
  </si>
  <si>
    <t>سماعة ( نظام الصوت)</t>
  </si>
  <si>
    <t>شاشة 32 بوصة</t>
  </si>
  <si>
    <t>شاشة 65 بوصة</t>
  </si>
  <si>
    <t>شيرفر</t>
  </si>
  <si>
    <t>طابعة-الوان</t>
  </si>
  <si>
    <t>كاميرات</t>
  </si>
  <si>
    <t>كمبروسور-كبيرالحجم (BITZER)</t>
  </si>
  <si>
    <t>كمبروسور-متوسط الحجم (BITZER)</t>
  </si>
  <si>
    <t>لمبات BULB</t>
  </si>
  <si>
    <t>لمبة ليد</t>
  </si>
  <si>
    <t>لمبة ليد بلح</t>
  </si>
  <si>
    <t>ماتور مياة</t>
  </si>
  <si>
    <t>مروحة حائط كبيرة</t>
  </si>
  <si>
    <t>مروحة صغيرة-استاند</t>
  </si>
  <si>
    <t>مفرمة لحوم - متوسطة الحجم</t>
  </si>
  <si>
    <t>منشار لحوم (لانشون وجبن)</t>
  </si>
  <si>
    <t>وحدات توزيع-تبريد</t>
  </si>
  <si>
    <t>وحدة النظام الصوتى</t>
  </si>
  <si>
    <t>لمبة</t>
  </si>
  <si>
    <t>عجانه</t>
  </si>
  <si>
    <t>ميزان كهربائي</t>
  </si>
  <si>
    <t>شفاط مطبخ داكت</t>
  </si>
  <si>
    <t>ماكينة بلح الشام</t>
  </si>
  <si>
    <t>ماكينة طحن السكر</t>
  </si>
  <si>
    <t>ماكينة تقطيع الكنافة</t>
  </si>
  <si>
    <t>كمبروسر هواء</t>
  </si>
  <si>
    <t>مروحة سقف</t>
  </si>
  <si>
    <t>سير عجين</t>
  </si>
  <si>
    <t>ميكرويف</t>
  </si>
  <si>
    <t>فرن هوائي</t>
  </si>
  <si>
    <t xml:space="preserve">فرن هوائي كبير </t>
  </si>
  <si>
    <t>كسارة مكسرات</t>
  </si>
  <si>
    <t>ماكينة كحك</t>
  </si>
  <si>
    <t>ماكينة زلابيا</t>
  </si>
  <si>
    <t>ماكينة بسكويت</t>
  </si>
  <si>
    <t>غرفة تبريد</t>
  </si>
  <si>
    <t>شنيور</t>
  </si>
  <si>
    <t>خلاط</t>
  </si>
  <si>
    <t>شاشة 21 بوصة</t>
  </si>
  <si>
    <t>شاشة 60 بوصة</t>
  </si>
  <si>
    <t>شاشة 17 بوصة</t>
  </si>
  <si>
    <t>اسانسير</t>
  </si>
  <si>
    <t xml:space="preserve">تكييف </t>
  </si>
  <si>
    <t>ثلاجة باب واحد</t>
  </si>
  <si>
    <t>ثلاجة 2 باب</t>
  </si>
  <si>
    <t>ماكينة تفتيح</t>
  </si>
  <si>
    <t>كاميرا مراقبة</t>
  </si>
  <si>
    <t>كمبروسور</t>
  </si>
  <si>
    <t>سيرفر كمبيوتر</t>
  </si>
  <si>
    <t>نظام صوتي</t>
  </si>
  <si>
    <t>ماكينة قهوة</t>
  </si>
  <si>
    <t xml:space="preserve">كشاف ليد دائري كبير </t>
  </si>
  <si>
    <t>كشاف دائري صغير</t>
  </si>
  <si>
    <t>ثلاجة عادية</t>
  </si>
  <si>
    <t>ستارة هواء</t>
  </si>
  <si>
    <t>ماكينة لحام حديد صغيرة</t>
  </si>
  <si>
    <t>لمبة صغيرة</t>
  </si>
  <si>
    <t>جهاز تسجيل كاميرات (DVR)</t>
  </si>
  <si>
    <t>ماكينة بشر شيكولاته</t>
  </si>
  <si>
    <t>مسدس سخان هواء</t>
  </si>
  <si>
    <t>ماكينة تقليب شيكولاته</t>
  </si>
  <si>
    <t>مضرب</t>
  </si>
  <si>
    <t>شفاط معدني 3 فاز</t>
  </si>
  <si>
    <t>سخان كهربائي صغير</t>
  </si>
  <si>
    <t>سخان كهربائي كبير</t>
  </si>
  <si>
    <t>فريزر عرض 2 باب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</si>
</sst>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2"/>
      <color theme="1"/>
      <name val="Arial"/>
      <family val="2"/>
      <scheme val="minor"/>
    </font>
    <font>
      <sz val="7"/>
      <color theme="1"/>
      <name val="Arial"/>
      <family val="2"/>
      <scheme val="minor"/>
    </font>
    <font>
      <sz val="11"/>
      <color theme="1"/>
      <name val="Arial"/>
      <family val="2"/>
      <scheme val="minor"/>
    </font>
    <font>
      <sz val="7"/>
      <color rgb="FF545454"/>
      <name val="Arial"/>
      <family val="2"/>
      <scheme val="minor"/>
    </font>
    <font>
      <sz val="11"/>
      <color rgb="FF545454"/>
      <name val="Arial"/>
      <family val="2"/>
      <scheme val="minor"/>
    </font>
  </fonts>
  <fills count="4">
    <fill>
      <patternFill patternType="none"/>
    </fill>
    <fill>
      <patternFill patternType="gray125"/>
    </fill>
    <fill>
      <patternFill patternType="solid">
        <fgColor rgb="FFFFFFFF"/>
        <bgColor indexed="64"/>
      </patternFill>
    </fill>
    <fill>
      <patternFill patternType="solid">
        <fgColor rgb="FFF1F9FF"/>
        <bgColor indexed="64"/>
      </patternFill>
    </fill>
  </fills>
  <borders count="2">
    <border>
      <left/>
      <right/>
      <top/>
      <bottom/>
      <diagonal/>
    </border>
    <border>
      <left/>
      <right/>
      <top/>
      <bottom style="medium">
        <color rgb="FFE2E8F0"/>
      </bottom>
      <diagonal/>
    </border>
  </borders>
  <cellStyleXfs count="1">
    <xf numFmtId="0" fontId="0" fillId="0" borderId="0"/>
  </cellStyleXfs>
  <cellXfs count="14">
    <xf numFmtId="0" fontId="0" fillId="0" borderId="0" xfId="0"/>
    <xf numFmtId="0" fontId="0" fillId="0" borderId="0" xfId="0" applyAlignment="1">
      <alignment horizontal="center" vertical="center"/>
    </xf>
    <xf numFmtId="164" fontId="0" fillId="0" borderId="0" xfId="0" applyNumberFormat="1" applyAlignment="1">
      <alignment horizontal="center" vertical="center"/>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0" borderId="0" xfId="0" applyFont="1" applyAlignment="1">
      <alignment horizontal="center" vertical="center"/>
    </xf>
    <xf numFmtId="164" fontId="1" fillId="3" borderId="1" xfId="0" applyNumberFormat="1"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164" fontId="3" fillId="2" borderId="1" xfId="0" applyNumberFormat="1" applyFont="1" applyFill="1" applyBorder="1" applyAlignment="1">
      <alignment horizontal="center" vertical="center" wrapText="1"/>
    </xf>
    <xf numFmtId="0" fontId="2" fillId="0" borderId="0" xfId="0" applyFont="1"/>
    <xf numFmtId="0" fontId="4" fillId="2" borderId="1" xfId="0" applyFont="1" applyFill="1" applyBorder="1" applyAlignment="1">
      <alignment horizontal="center" vertical="center"/>
    </xf>
    <xf numFmtId="2" fontId="4" fillId="2" borderId="1" xfId="0" applyNumberFormat="1" applyFont="1" applyFill="1" applyBorder="1" applyAlignment="1">
      <alignment horizontal="center" vertical="center"/>
    </xf>
    <xf numFmtId="164" fontId="2" fillId="0" borderId="0" xfId="0" applyNumberFormat="1" applyFont="1" applyAlignment="1">
      <alignment horizontal="center" vertical="center"/>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2"/>
  <sheetViews>
    <sheetView workbookViewId="0">
      <selection activeCell="M19" sqref="M19"/>
    </sheetView>
  </sheetViews>
  <sheetFormatPr defaultRowHeight="15" x14ac:dyDescent="0.25"/>
  <cols>
    <col min="1" max="1" width="37.26953125" style="1" bestFit="1" customWidth="1"/>
    <col min="2" max="2" width="3.6328125" style="1" bestFit="1" customWidth="1"/>
    <col min="3" max="3" width="8.36328125" style="1" bestFit="1" customWidth="1"/>
    <col min="4" max="4" width="10.7265625" style="1" bestFit="1" customWidth="1"/>
    <col min="5" max="5" width="12.453125" style="1" customWidth="1"/>
    <col min="7" max="16384" width="8.7265625" style="1"/>
  </cols>
  <sheetData>
    <row r="1" spans="1:6" x14ac:dyDescent="0.25">
      <c r="A1" s="1" t="s">
        <v>1</v>
      </c>
      <c r="B1" s="1" t="s">
        <v>2</v>
      </c>
      <c r="C1" s="1" t="s">
        <v>3</v>
      </c>
      <c r="D1" s="1" t="s">
        <v>51</v>
      </c>
      <c r="E1" s="1" t="s">
        <v>50</v>
      </c>
      <c r="F1" s="1"/>
    </row>
    <row r="2" spans="1:6" x14ac:dyDescent="0.25">
      <c r="A2" s="1" t="s">
        <v>4</v>
      </c>
      <c r="B2" s="1" t="s">
        <v>5</v>
      </c>
      <c r="C2" s="1">
        <v>160</v>
      </c>
      <c r="D2" s="2">
        <f>(B2*C2)/1000</f>
        <v>1.76</v>
      </c>
      <c r="E2" s="2">
        <f>D2/0.746</f>
        <v>2.3592493297587134</v>
      </c>
      <c r="F2" s="1"/>
    </row>
    <row r="3" spans="1:6" x14ac:dyDescent="0.25">
      <c r="A3" s="1" t="s">
        <v>6</v>
      </c>
      <c r="B3" s="1" t="s">
        <v>7</v>
      </c>
      <c r="C3" s="1">
        <v>810</v>
      </c>
      <c r="D3" s="2">
        <f t="shared" ref="D3:D35" si="0">(B3*C3)/1000</f>
        <v>4.8600000000000003</v>
      </c>
      <c r="E3" s="2">
        <f t="shared" ref="E3:E35" si="1">D3/0.746</f>
        <v>6.5147453083109923</v>
      </c>
      <c r="F3" s="1"/>
    </row>
    <row r="4" spans="1:6" x14ac:dyDescent="0.25">
      <c r="A4" s="1" t="s">
        <v>8</v>
      </c>
      <c r="B4" s="1" t="s">
        <v>9</v>
      </c>
      <c r="C4" s="1">
        <v>65</v>
      </c>
      <c r="D4" s="2">
        <f t="shared" si="0"/>
        <v>4.875</v>
      </c>
      <c r="E4" s="2">
        <f t="shared" si="1"/>
        <v>6.5348525469168903</v>
      </c>
      <c r="F4" s="1"/>
    </row>
    <row r="5" spans="1:6" x14ac:dyDescent="0.25">
      <c r="A5" s="1" t="s">
        <v>10</v>
      </c>
      <c r="B5" s="1" t="s">
        <v>11</v>
      </c>
      <c r="C5" s="1">
        <v>4</v>
      </c>
      <c r="D5" s="2">
        <f t="shared" si="0"/>
        <v>4.0000000000000001E-3</v>
      </c>
      <c r="E5" s="2">
        <f t="shared" si="1"/>
        <v>5.3619302949061663E-3</v>
      </c>
      <c r="F5" s="1"/>
    </row>
    <row r="6" spans="1:6" x14ac:dyDescent="0.25">
      <c r="A6" s="1" t="s">
        <v>12</v>
      </c>
      <c r="B6" s="1" t="s">
        <v>7</v>
      </c>
      <c r="C6" s="1">
        <v>4500</v>
      </c>
      <c r="D6" s="2">
        <f t="shared" si="0"/>
        <v>27</v>
      </c>
      <c r="E6" s="2">
        <f t="shared" si="1"/>
        <v>36.193029490616624</v>
      </c>
      <c r="F6" s="1"/>
    </row>
    <row r="7" spans="1:6" x14ac:dyDescent="0.25">
      <c r="A7" s="1" t="s">
        <v>13</v>
      </c>
      <c r="B7" s="1" t="s">
        <v>11</v>
      </c>
      <c r="C7" s="1">
        <v>4450</v>
      </c>
      <c r="D7" s="2">
        <f t="shared" si="0"/>
        <v>4.45</v>
      </c>
      <c r="E7" s="2">
        <f t="shared" si="1"/>
        <v>5.9651474530831106</v>
      </c>
      <c r="F7" s="1"/>
    </row>
    <row r="8" spans="1:6" x14ac:dyDescent="0.25">
      <c r="A8" s="1" t="s">
        <v>14</v>
      </c>
      <c r="B8" s="1" t="s">
        <v>11</v>
      </c>
      <c r="C8" s="1">
        <v>1180</v>
      </c>
      <c r="D8" s="2">
        <f t="shared" si="0"/>
        <v>1.18</v>
      </c>
      <c r="E8" s="2">
        <f t="shared" si="1"/>
        <v>1.581769436997319</v>
      </c>
      <c r="F8" s="1"/>
    </row>
    <row r="9" spans="1:6" x14ac:dyDescent="0.25">
      <c r="A9" s="1" t="s">
        <v>15</v>
      </c>
      <c r="B9" s="1" t="s">
        <v>16</v>
      </c>
      <c r="C9" s="1">
        <v>860</v>
      </c>
      <c r="D9" s="2">
        <f t="shared" si="0"/>
        <v>1.72</v>
      </c>
      <c r="E9" s="2">
        <f t="shared" si="1"/>
        <v>2.3056300268096512</v>
      </c>
      <c r="F9" s="1"/>
    </row>
    <row r="10" spans="1:6" x14ac:dyDescent="0.25">
      <c r="A10" s="1" t="s">
        <v>17</v>
      </c>
      <c r="B10" s="1" t="s">
        <v>18</v>
      </c>
      <c r="C10" s="1">
        <v>160</v>
      </c>
      <c r="D10" s="2">
        <f t="shared" si="0"/>
        <v>0.48</v>
      </c>
      <c r="E10" s="2">
        <f t="shared" si="1"/>
        <v>0.64343163538873993</v>
      </c>
      <c r="F10" s="1"/>
    </row>
    <row r="11" spans="1:6" x14ac:dyDescent="0.25">
      <c r="A11" s="1" t="s">
        <v>19</v>
      </c>
      <c r="B11" s="1" t="s">
        <v>11</v>
      </c>
      <c r="C11" s="1">
        <v>1232</v>
      </c>
      <c r="D11" s="2">
        <f t="shared" si="0"/>
        <v>1.232</v>
      </c>
      <c r="E11" s="2">
        <f t="shared" si="1"/>
        <v>1.6514745308310992</v>
      </c>
      <c r="F11" s="1"/>
    </row>
    <row r="12" spans="1:6" x14ac:dyDescent="0.25">
      <c r="A12" s="1" t="s">
        <v>20</v>
      </c>
      <c r="B12" s="1" t="s">
        <v>16</v>
      </c>
      <c r="C12" s="1">
        <v>1800</v>
      </c>
      <c r="D12" s="2">
        <f t="shared" si="0"/>
        <v>3.6</v>
      </c>
      <c r="E12" s="2">
        <f t="shared" si="1"/>
        <v>4.8257372654155501</v>
      </c>
      <c r="F12" s="1"/>
    </row>
    <row r="13" spans="1:6" x14ac:dyDescent="0.25">
      <c r="A13" s="1" t="s">
        <v>21</v>
      </c>
      <c r="B13" s="1" t="s">
        <v>11</v>
      </c>
      <c r="C13" s="1">
        <v>1600</v>
      </c>
      <c r="D13" s="2">
        <f t="shared" si="0"/>
        <v>1.6</v>
      </c>
      <c r="E13" s="2">
        <f t="shared" si="1"/>
        <v>2.1447721179624666</v>
      </c>
      <c r="F13" s="1"/>
    </row>
    <row r="14" spans="1:6" x14ac:dyDescent="0.25">
      <c r="A14" s="1" t="s">
        <v>22</v>
      </c>
      <c r="B14" s="1" t="s">
        <v>11</v>
      </c>
      <c r="C14" s="1">
        <v>200</v>
      </c>
      <c r="D14" s="2">
        <f t="shared" si="0"/>
        <v>0.2</v>
      </c>
      <c r="E14" s="2">
        <f t="shared" si="1"/>
        <v>0.26809651474530832</v>
      </c>
      <c r="F14" s="1"/>
    </row>
    <row r="15" spans="1:6" x14ac:dyDescent="0.25">
      <c r="A15" s="1" t="s">
        <v>23</v>
      </c>
      <c r="B15" s="1" t="s">
        <v>24</v>
      </c>
      <c r="C15" s="1">
        <v>5222</v>
      </c>
      <c r="D15" s="2">
        <f t="shared" si="0"/>
        <v>26.11</v>
      </c>
      <c r="E15" s="2">
        <f t="shared" si="1"/>
        <v>35</v>
      </c>
      <c r="F15" s="1"/>
    </row>
    <row r="16" spans="1:6" x14ac:dyDescent="0.25">
      <c r="A16" s="1" t="s">
        <v>25</v>
      </c>
      <c r="B16" s="1" t="s">
        <v>11</v>
      </c>
      <c r="C16" s="1">
        <v>2238</v>
      </c>
      <c r="D16" s="2">
        <f t="shared" si="0"/>
        <v>2.238</v>
      </c>
      <c r="E16" s="2">
        <f t="shared" si="1"/>
        <v>3</v>
      </c>
      <c r="F16" s="1"/>
    </row>
    <row r="17" spans="1:6" x14ac:dyDescent="0.25">
      <c r="A17" s="1" t="s">
        <v>26</v>
      </c>
      <c r="B17" s="1" t="s">
        <v>11</v>
      </c>
      <c r="C17" s="1">
        <v>2984</v>
      </c>
      <c r="D17" s="2">
        <f t="shared" si="0"/>
        <v>2.984</v>
      </c>
      <c r="E17" s="2">
        <f t="shared" si="1"/>
        <v>4</v>
      </c>
      <c r="F17" s="1"/>
    </row>
    <row r="18" spans="1:6" x14ac:dyDescent="0.25">
      <c r="A18" s="1" t="s">
        <v>27</v>
      </c>
      <c r="B18" s="1" t="s">
        <v>11</v>
      </c>
      <c r="C18" s="1">
        <v>746</v>
      </c>
      <c r="D18" s="2">
        <f t="shared" si="0"/>
        <v>0.746</v>
      </c>
      <c r="E18" s="2">
        <f t="shared" si="1"/>
        <v>1</v>
      </c>
      <c r="F18" s="1"/>
    </row>
    <row r="19" spans="1:6" x14ac:dyDescent="0.25">
      <c r="A19" s="1" t="s">
        <v>28</v>
      </c>
      <c r="B19" s="1" t="s">
        <v>16</v>
      </c>
      <c r="C19" s="1">
        <v>5222</v>
      </c>
      <c r="D19" s="2">
        <f t="shared" si="0"/>
        <v>10.444000000000001</v>
      </c>
      <c r="E19" s="2">
        <f t="shared" si="1"/>
        <v>14.000000000000002</v>
      </c>
      <c r="F19" s="1"/>
    </row>
    <row r="20" spans="1:6" x14ac:dyDescent="0.25">
      <c r="A20" s="1" t="s">
        <v>29</v>
      </c>
      <c r="B20" s="1" t="s">
        <v>11</v>
      </c>
      <c r="C20" s="1">
        <v>200</v>
      </c>
      <c r="D20" s="2">
        <f t="shared" si="0"/>
        <v>0.2</v>
      </c>
      <c r="E20" s="2">
        <f t="shared" si="1"/>
        <v>0.26809651474530832</v>
      </c>
      <c r="F20" s="1"/>
    </row>
    <row r="21" spans="1:6" x14ac:dyDescent="0.25">
      <c r="A21" s="1" t="s">
        <v>30</v>
      </c>
      <c r="B21" s="1" t="s">
        <v>11</v>
      </c>
      <c r="C21" s="1">
        <v>500</v>
      </c>
      <c r="D21" s="2">
        <f t="shared" si="0"/>
        <v>0.5</v>
      </c>
      <c r="E21" s="2">
        <f t="shared" si="1"/>
        <v>0.67024128686327078</v>
      </c>
      <c r="F21" s="1"/>
    </row>
    <row r="22" spans="1:6" x14ac:dyDescent="0.25">
      <c r="A22" s="1" t="s">
        <v>31</v>
      </c>
      <c r="B22" s="1" t="s">
        <v>32</v>
      </c>
      <c r="C22" s="1">
        <v>20</v>
      </c>
      <c r="D22" s="2">
        <f t="shared" si="0"/>
        <v>0.18</v>
      </c>
      <c r="E22" s="2">
        <f t="shared" si="1"/>
        <v>0.24128686327077747</v>
      </c>
      <c r="F22" s="1"/>
    </row>
    <row r="23" spans="1:6" x14ac:dyDescent="0.25">
      <c r="A23" s="1" t="s">
        <v>33</v>
      </c>
      <c r="B23" s="1" t="s">
        <v>34</v>
      </c>
      <c r="C23" s="1">
        <v>20</v>
      </c>
      <c r="D23" s="2">
        <f t="shared" si="0"/>
        <v>2.2200000000000002</v>
      </c>
      <c r="E23" s="2">
        <f t="shared" si="1"/>
        <v>2.9758713136729225</v>
      </c>
      <c r="F23" s="1"/>
    </row>
    <row r="24" spans="1:6" x14ac:dyDescent="0.25">
      <c r="A24" s="1" t="s">
        <v>35</v>
      </c>
      <c r="B24" s="1" t="s">
        <v>9</v>
      </c>
      <c r="C24" s="1">
        <v>3</v>
      </c>
      <c r="D24" s="2">
        <f t="shared" si="0"/>
        <v>0.22500000000000001</v>
      </c>
      <c r="E24" s="2">
        <f t="shared" si="1"/>
        <v>0.30160857908847188</v>
      </c>
      <c r="F24" s="1"/>
    </row>
    <row r="25" spans="1:6" x14ac:dyDescent="0.25">
      <c r="A25" s="1" t="s">
        <v>36</v>
      </c>
      <c r="B25" s="1" t="s">
        <v>37</v>
      </c>
      <c r="C25" s="1">
        <v>12</v>
      </c>
      <c r="D25" s="2">
        <f t="shared" si="0"/>
        <v>0.28799999999999998</v>
      </c>
      <c r="E25" s="2">
        <f t="shared" si="1"/>
        <v>0.38605898123324395</v>
      </c>
      <c r="F25" s="1"/>
    </row>
    <row r="26" spans="1:6" x14ac:dyDescent="0.25">
      <c r="A26" s="1" t="s">
        <v>38</v>
      </c>
      <c r="B26" s="1" t="s">
        <v>11</v>
      </c>
      <c r="C26" s="1">
        <v>80</v>
      </c>
      <c r="D26" s="2">
        <f t="shared" si="0"/>
        <v>0.08</v>
      </c>
      <c r="E26" s="2">
        <f t="shared" si="1"/>
        <v>0.10723860589812333</v>
      </c>
      <c r="F26" s="1"/>
    </row>
    <row r="27" spans="1:6" x14ac:dyDescent="0.25">
      <c r="A27" s="1" t="s">
        <v>39</v>
      </c>
      <c r="B27" s="1" t="s">
        <v>11</v>
      </c>
      <c r="C27" s="1">
        <v>1000</v>
      </c>
      <c r="D27" s="2">
        <f t="shared" si="0"/>
        <v>1</v>
      </c>
      <c r="E27" s="2">
        <f t="shared" si="1"/>
        <v>1.3404825737265416</v>
      </c>
      <c r="F27" s="1"/>
    </row>
    <row r="28" spans="1:6" x14ac:dyDescent="0.25">
      <c r="A28" s="1" t="s">
        <v>40</v>
      </c>
      <c r="B28" s="1" t="s">
        <v>11</v>
      </c>
      <c r="C28" s="1">
        <v>125</v>
      </c>
      <c r="D28" s="2">
        <f t="shared" si="0"/>
        <v>0.125</v>
      </c>
      <c r="E28" s="2">
        <f t="shared" si="1"/>
        <v>0.16756032171581769</v>
      </c>
      <c r="F28" s="1"/>
    </row>
    <row r="29" spans="1:6" x14ac:dyDescent="0.25">
      <c r="A29" s="1" t="s">
        <v>41</v>
      </c>
      <c r="B29" s="1" t="s">
        <v>42</v>
      </c>
      <c r="C29" s="1">
        <v>25</v>
      </c>
      <c r="D29" s="2">
        <f t="shared" si="0"/>
        <v>0.75</v>
      </c>
      <c r="E29" s="2">
        <f t="shared" si="1"/>
        <v>1.0053619302949062</v>
      </c>
      <c r="F29" s="1"/>
    </row>
    <row r="30" spans="1:6" x14ac:dyDescent="0.25">
      <c r="A30" s="1" t="s">
        <v>43</v>
      </c>
      <c r="B30" s="1" t="s">
        <v>11</v>
      </c>
      <c r="C30" s="1">
        <v>200</v>
      </c>
      <c r="D30" s="2">
        <f t="shared" si="0"/>
        <v>0.2</v>
      </c>
      <c r="E30" s="2">
        <f t="shared" si="1"/>
        <v>0.26809651474530832</v>
      </c>
      <c r="F30" s="1"/>
    </row>
    <row r="31" spans="1:6" x14ac:dyDescent="0.25">
      <c r="A31" s="1" t="s">
        <v>44</v>
      </c>
      <c r="B31" s="1" t="s">
        <v>16</v>
      </c>
      <c r="C31" s="1">
        <v>1200</v>
      </c>
      <c r="D31" s="2">
        <f t="shared" si="0"/>
        <v>2.4</v>
      </c>
      <c r="E31" s="2">
        <f t="shared" si="1"/>
        <v>3.2171581769436997</v>
      </c>
      <c r="F31" s="1"/>
    </row>
    <row r="32" spans="1:6" x14ac:dyDescent="0.25">
      <c r="A32" s="1" t="s">
        <v>45</v>
      </c>
      <c r="B32" s="1" t="s">
        <v>11</v>
      </c>
      <c r="C32" s="1">
        <v>1000</v>
      </c>
      <c r="D32" s="2">
        <f t="shared" si="0"/>
        <v>1</v>
      </c>
      <c r="E32" s="2">
        <f t="shared" si="1"/>
        <v>1.3404825737265416</v>
      </c>
      <c r="F32" s="1"/>
    </row>
    <row r="33" spans="1:6" x14ac:dyDescent="0.25">
      <c r="A33" s="1" t="s">
        <v>46</v>
      </c>
      <c r="B33" s="1" t="s">
        <v>11</v>
      </c>
      <c r="C33" s="1">
        <v>80</v>
      </c>
      <c r="D33" s="2">
        <f t="shared" si="0"/>
        <v>0.08</v>
      </c>
      <c r="E33" s="2">
        <f t="shared" si="1"/>
        <v>0.10723860589812333</v>
      </c>
      <c r="F33" s="1"/>
    </row>
    <row r="34" spans="1:6" x14ac:dyDescent="0.25">
      <c r="A34" s="1" t="s">
        <v>47</v>
      </c>
      <c r="B34" s="1" t="s">
        <v>11</v>
      </c>
      <c r="C34" s="1">
        <v>746</v>
      </c>
      <c r="D34" s="2">
        <f t="shared" si="0"/>
        <v>0.746</v>
      </c>
      <c r="E34" s="2">
        <f t="shared" si="1"/>
        <v>1</v>
      </c>
      <c r="F34" s="1"/>
    </row>
    <row r="35" spans="1:6" x14ac:dyDescent="0.25">
      <c r="A35" s="1" t="s">
        <v>48</v>
      </c>
      <c r="B35" s="1" t="s">
        <v>11</v>
      </c>
      <c r="C35" s="1">
        <v>3730</v>
      </c>
      <c r="D35" s="2">
        <f t="shared" si="0"/>
        <v>3.73</v>
      </c>
      <c r="E35" s="2">
        <f t="shared" si="1"/>
        <v>5</v>
      </c>
      <c r="F35" s="1"/>
    </row>
    <row r="36" spans="1:6" x14ac:dyDescent="0.25">
      <c r="A36" s="1" t="s">
        <v>49</v>
      </c>
      <c r="B36" s="1" t="s">
        <v>0</v>
      </c>
      <c r="C36" s="2">
        <f>SUM(C2:C35)</f>
        <v>42374</v>
      </c>
      <c r="D36" s="2">
        <f>SUM(D2:D35)</f>
        <v>109.20699999999999</v>
      </c>
      <c r="E36" s="2">
        <f>SUM(E2:E35)</f>
        <v>146.39008042895443</v>
      </c>
      <c r="F36" s="1"/>
    </row>
    <row r="37" spans="1:6" x14ac:dyDescent="0.25">
      <c r="F37" s="1"/>
    </row>
    <row r="38" spans="1:6" x14ac:dyDescent="0.25">
      <c r="F38" s="1"/>
    </row>
    <row r="39" spans="1:6" x14ac:dyDescent="0.25">
      <c r="F39" s="1"/>
    </row>
    <row r="40" spans="1:6" x14ac:dyDescent="0.25">
      <c r="F40" s="1"/>
    </row>
    <row r="41" spans="1:6" x14ac:dyDescent="0.25">
      <c r="F41" s="1"/>
    </row>
    <row r="42" spans="1:6" x14ac:dyDescent="0.25">
      <c r="F42" s="1"/>
    </row>
  </sheetData>
  <pageMargins left="0.7" right="0.7" top="0.75" bottom="0.75" header="0.3" footer="0.3"/>
  <ignoredErrors>
    <ignoredError sqref="A1:A36 B4 B2 B3 B27 B6 B5 B7 B8 B9 B10 B11 B12 B36 B35 B34 B33 B32 B31 B30 B29 B28 B13 B14 B15 B16 B17 B18 B19 B20 B21 B22 B23 B24 B25 B26"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68C91-F450-4DE4-A4F7-0B8E79E488A1}">
  <dimension ref="A1:E23"/>
  <sheetViews>
    <sheetView workbookViewId="0">
      <selection sqref="A1:E1"/>
    </sheetView>
  </sheetViews>
  <sheetFormatPr defaultRowHeight="15" x14ac:dyDescent="0.25"/>
  <cols>
    <col min="1" max="1" width="16.7265625" bestFit="1" customWidth="1"/>
    <col min="2" max="2" width="3.54296875" bestFit="1" customWidth="1"/>
    <col min="3" max="3" width="4.81640625" bestFit="1" customWidth="1"/>
    <col min="4" max="4" width="10.7265625" bestFit="1" customWidth="1"/>
    <col min="5" max="5" width="11.81640625" bestFit="1" customWidth="1"/>
  </cols>
  <sheetData>
    <row r="1" spans="1:5" x14ac:dyDescent="0.25">
      <c r="A1" s="1" t="s">
        <v>1</v>
      </c>
      <c r="B1" s="1" t="s">
        <v>2</v>
      </c>
      <c r="C1" s="1" t="s">
        <v>3</v>
      </c>
      <c r="D1" s="1" t="s">
        <v>51</v>
      </c>
      <c r="E1" s="1" t="s">
        <v>50</v>
      </c>
    </row>
    <row r="2" spans="1:5" x14ac:dyDescent="0.25">
      <c r="A2" s="1" t="s">
        <v>52</v>
      </c>
      <c r="B2" s="1">
        <v>4</v>
      </c>
      <c r="C2" s="1">
        <v>1679</v>
      </c>
      <c r="D2" s="2">
        <f>(B2*C2)/1000</f>
        <v>6.7160000000000002</v>
      </c>
      <c r="E2" s="2">
        <f>D2/0.746</f>
        <v>9.0026809651474533</v>
      </c>
    </row>
    <row r="3" spans="1:5" x14ac:dyDescent="0.25">
      <c r="A3" s="1" t="s">
        <v>53</v>
      </c>
      <c r="B3" s="1">
        <v>1</v>
      </c>
      <c r="C3" s="1">
        <v>250</v>
      </c>
      <c r="D3" s="2">
        <f t="shared" ref="D3:D23" si="0">(B3*C3)/1000</f>
        <v>0.25</v>
      </c>
      <c r="E3" s="2">
        <f t="shared" ref="E3:E23" si="1">D3/0.746</f>
        <v>0.33512064343163539</v>
      </c>
    </row>
    <row r="4" spans="1:5" x14ac:dyDescent="0.25">
      <c r="A4" s="1" t="s">
        <v>54</v>
      </c>
      <c r="B4" s="1">
        <v>1</v>
      </c>
      <c r="C4" s="1">
        <v>450</v>
      </c>
      <c r="D4" s="2">
        <f t="shared" si="0"/>
        <v>0.45</v>
      </c>
      <c r="E4" s="2">
        <f t="shared" si="1"/>
        <v>0.60321715817694377</v>
      </c>
    </row>
    <row r="5" spans="1:5" x14ac:dyDescent="0.25">
      <c r="A5" s="1" t="s">
        <v>55</v>
      </c>
      <c r="B5" s="1">
        <v>1</v>
      </c>
      <c r="C5" s="1">
        <v>200</v>
      </c>
      <c r="D5" s="2">
        <f t="shared" si="0"/>
        <v>0.2</v>
      </c>
      <c r="E5" s="2">
        <f t="shared" si="1"/>
        <v>0.26809651474530832</v>
      </c>
    </row>
    <row r="6" spans="1:5" x14ac:dyDescent="0.25">
      <c r="A6" s="1" t="s">
        <v>56</v>
      </c>
      <c r="B6" s="1">
        <v>1</v>
      </c>
      <c r="C6" s="1">
        <v>1550</v>
      </c>
      <c r="D6" s="2">
        <f t="shared" si="0"/>
        <v>1.55</v>
      </c>
      <c r="E6" s="2">
        <f t="shared" si="1"/>
        <v>2.0777479892761397</v>
      </c>
    </row>
    <row r="7" spans="1:5" x14ac:dyDescent="0.25">
      <c r="A7" s="1" t="s">
        <v>57</v>
      </c>
      <c r="B7" s="1">
        <v>1</v>
      </c>
      <c r="C7" s="1">
        <v>2200</v>
      </c>
      <c r="D7" s="2">
        <f t="shared" si="0"/>
        <v>2.2000000000000002</v>
      </c>
      <c r="E7" s="2">
        <f t="shared" si="1"/>
        <v>2.9490616621983916</v>
      </c>
    </row>
    <row r="8" spans="1:5" x14ac:dyDescent="0.25">
      <c r="A8" s="1" t="s">
        <v>58</v>
      </c>
      <c r="B8" s="1">
        <v>1</v>
      </c>
      <c r="C8" s="1">
        <v>1800</v>
      </c>
      <c r="D8" s="2">
        <f t="shared" si="0"/>
        <v>1.8</v>
      </c>
      <c r="E8" s="2">
        <f t="shared" si="1"/>
        <v>2.4128686327077751</v>
      </c>
    </row>
    <row r="9" spans="1:5" x14ac:dyDescent="0.25">
      <c r="A9" s="1" t="s">
        <v>59</v>
      </c>
      <c r="B9" s="1">
        <v>2</v>
      </c>
      <c r="C9" s="1">
        <v>750</v>
      </c>
      <c r="D9" s="2">
        <f t="shared" si="0"/>
        <v>1.5</v>
      </c>
      <c r="E9" s="2">
        <f t="shared" si="1"/>
        <v>2.0107238605898123</v>
      </c>
    </row>
    <row r="10" spans="1:5" x14ac:dyDescent="0.25">
      <c r="A10" s="1" t="s">
        <v>60</v>
      </c>
      <c r="B10" s="1">
        <v>2</v>
      </c>
      <c r="C10" s="1">
        <v>1200</v>
      </c>
      <c r="D10" s="2">
        <f t="shared" si="0"/>
        <v>2.4</v>
      </c>
      <c r="E10" s="2">
        <f t="shared" si="1"/>
        <v>3.2171581769436997</v>
      </c>
    </row>
    <row r="11" spans="1:5" x14ac:dyDescent="0.25">
      <c r="A11" s="1" t="s">
        <v>61</v>
      </c>
      <c r="B11" s="1">
        <v>1</v>
      </c>
      <c r="C11" s="1">
        <v>1500</v>
      </c>
      <c r="D11" s="2">
        <f t="shared" si="0"/>
        <v>1.5</v>
      </c>
      <c r="E11" s="2">
        <f t="shared" si="1"/>
        <v>2.0107238605898123</v>
      </c>
    </row>
    <row r="12" spans="1:5" x14ac:dyDescent="0.25">
      <c r="A12" s="1" t="s">
        <v>62</v>
      </c>
      <c r="B12" s="1">
        <v>1</v>
      </c>
      <c r="C12" s="1">
        <v>2400</v>
      </c>
      <c r="D12" s="2">
        <f t="shared" si="0"/>
        <v>2.4</v>
      </c>
      <c r="E12" s="2">
        <f t="shared" si="1"/>
        <v>3.2171581769436997</v>
      </c>
    </row>
    <row r="13" spans="1:5" x14ac:dyDescent="0.25">
      <c r="A13" s="1" t="s">
        <v>63</v>
      </c>
      <c r="B13" s="1">
        <v>1</v>
      </c>
      <c r="C13" s="1">
        <v>80</v>
      </c>
      <c r="D13" s="2">
        <f t="shared" si="0"/>
        <v>0.08</v>
      </c>
      <c r="E13" s="2">
        <f t="shared" si="1"/>
        <v>0.10723860589812333</v>
      </c>
    </row>
    <row r="14" spans="1:5" x14ac:dyDescent="0.25">
      <c r="A14" s="1" t="s">
        <v>64</v>
      </c>
      <c r="B14" s="1">
        <v>2</v>
      </c>
      <c r="C14" s="1">
        <v>33</v>
      </c>
      <c r="D14" s="2">
        <f t="shared" si="0"/>
        <v>6.6000000000000003E-2</v>
      </c>
      <c r="E14" s="2">
        <f t="shared" si="1"/>
        <v>8.8471849865951746E-2</v>
      </c>
    </row>
    <row r="15" spans="1:5" x14ac:dyDescent="0.25">
      <c r="A15" s="1" t="s">
        <v>65</v>
      </c>
      <c r="B15" s="1">
        <v>2</v>
      </c>
      <c r="C15" s="1">
        <v>19</v>
      </c>
      <c r="D15" s="2">
        <f t="shared" si="0"/>
        <v>3.7999999999999999E-2</v>
      </c>
      <c r="E15" s="2">
        <f t="shared" si="1"/>
        <v>5.0938337801608578E-2</v>
      </c>
    </row>
    <row r="16" spans="1:5" x14ac:dyDescent="0.25">
      <c r="A16" s="1" t="s">
        <v>66</v>
      </c>
      <c r="B16" s="1">
        <v>1</v>
      </c>
      <c r="C16" s="1">
        <v>80</v>
      </c>
      <c r="D16" s="2">
        <f t="shared" si="0"/>
        <v>0.08</v>
      </c>
      <c r="E16" s="2">
        <f t="shared" si="1"/>
        <v>0.10723860589812333</v>
      </c>
    </row>
    <row r="17" spans="1:5" x14ac:dyDescent="0.25">
      <c r="A17" s="1" t="s">
        <v>67</v>
      </c>
      <c r="B17" s="1">
        <v>1</v>
      </c>
      <c r="C17" s="1">
        <v>650</v>
      </c>
      <c r="D17" s="2">
        <f t="shared" si="0"/>
        <v>0.65</v>
      </c>
      <c r="E17" s="2">
        <f t="shared" si="1"/>
        <v>0.87131367292225204</v>
      </c>
    </row>
    <row r="18" spans="1:5" x14ac:dyDescent="0.25">
      <c r="A18" s="1" t="s">
        <v>68</v>
      </c>
      <c r="B18" s="1">
        <v>2</v>
      </c>
      <c r="C18" s="1">
        <v>250</v>
      </c>
      <c r="D18" s="2">
        <f t="shared" si="0"/>
        <v>0.5</v>
      </c>
      <c r="E18" s="2">
        <f t="shared" si="1"/>
        <v>0.67024128686327078</v>
      </c>
    </row>
    <row r="19" spans="1:5" x14ac:dyDescent="0.25">
      <c r="A19" s="1" t="s">
        <v>69</v>
      </c>
      <c r="B19" s="1">
        <v>3</v>
      </c>
      <c r="C19" s="1">
        <v>85</v>
      </c>
      <c r="D19" s="2">
        <f t="shared" si="0"/>
        <v>0.255</v>
      </c>
      <c r="E19" s="2">
        <f t="shared" si="1"/>
        <v>0.3418230563002681</v>
      </c>
    </row>
    <row r="20" spans="1:5" x14ac:dyDescent="0.25">
      <c r="A20" s="1" t="s">
        <v>70</v>
      </c>
      <c r="B20" s="1">
        <v>1</v>
      </c>
      <c r="C20" s="1">
        <v>1800</v>
      </c>
      <c r="D20" s="2">
        <f t="shared" si="0"/>
        <v>1.8</v>
      </c>
      <c r="E20" s="2">
        <f t="shared" si="1"/>
        <v>2.4128686327077751</v>
      </c>
    </row>
    <row r="21" spans="1:5" x14ac:dyDescent="0.25">
      <c r="A21" s="1" t="s">
        <v>71</v>
      </c>
      <c r="B21" s="1">
        <v>2</v>
      </c>
      <c r="C21" s="1">
        <v>1119</v>
      </c>
      <c r="D21" s="2">
        <f t="shared" si="0"/>
        <v>2.238</v>
      </c>
      <c r="E21" s="2">
        <f t="shared" si="1"/>
        <v>3</v>
      </c>
    </row>
    <row r="22" spans="1:5" x14ac:dyDescent="0.25">
      <c r="A22" s="1" t="s">
        <v>72</v>
      </c>
      <c r="B22" s="1">
        <v>56</v>
      </c>
      <c r="C22" s="1">
        <v>5</v>
      </c>
      <c r="D22" s="2">
        <f t="shared" si="0"/>
        <v>0.28000000000000003</v>
      </c>
      <c r="E22" s="2">
        <f t="shared" si="1"/>
        <v>0.37533512064343166</v>
      </c>
    </row>
    <row r="23" spans="1:5" x14ac:dyDescent="0.25">
      <c r="A23" s="1" t="s">
        <v>73</v>
      </c>
      <c r="B23" s="1">
        <v>24</v>
      </c>
      <c r="C23" s="1">
        <v>12</v>
      </c>
      <c r="D23" s="2">
        <f t="shared" si="0"/>
        <v>0.28799999999999998</v>
      </c>
      <c r="E23" s="2">
        <f t="shared" si="1"/>
        <v>0.38605898123324395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53ACA-C838-4B33-BB80-FA61D36BE7CD}">
  <dimension ref="A1:E24"/>
  <sheetViews>
    <sheetView workbookViewId="0">
      <selection sqref="A1:E1"/>
    </sheetView>
  </sheetViews>
  <sheetFormatPr defaultRowHeight="15" x14ac:dyDescent="0.25"/>
  <cols>
    <col min="1" max="1" width="8.26953125" bestFit="1" customWidth="1"/>
    <col min="2" max="2" width="3.54296875" bestFit="1" customWidth="1"/>
    <col min="3" max="3" width="3.26953125" bestFit="1" customWidth="1"/>
    <col min="4" max="4" width="10.7265625" bestFit="1" customWidth="1"/>
    <col min="5" max="5" width="9.36328125" bestFit="1" customWidth="1"/>
  </cols>
  <sheetData>
    <row r="1" spans="1:5" x14ac:dyDescent="0.25">
      <c r="A1" s="1" t="s">
        <v>1</v>
      </c>
      <c r="B1" s="1" t="s">
        <v>2</v>
      </c>
      <c r="C1" s="1" t="s">
        <v>3</v>
      </c>
      <c r="D1" s="1" t="s">
        <v>51</v>
      </c>
      <c r="E1" s="1" t="s">
        <v>50</v>
      </c>
    </row>
    <row r="2" spans="1:5" ht="15.6" thickBot="1" x14ac:dyDescent="0.3">
      <c r="A2" s="4" t="s">
        <v>52</v>
      </c>
      <c r="B2" s="4">
        <v>4</v>
      </c>
      <c r="C2" s="4">
        <v>1679</v>
      </c>
      <c r="D2" s="6">
        <f>(B2*C2)/1000</f>
        <v>6.7160000000000002</v>
      </c>
      <c r="E2" s="6">
        <f>D2/0.746</f>
        <v>9.0026809651474533</v>
      </c>
    </row>
    <row r="3" spans="1:5" ht="15.6" thickBot="1" x14ac:dyDescent="0.3">
      <c r="A3" s="3" t="s">
        <v>53</v>
      </c>
      <c r="B3" s="3">
        <v>1</v>
      </c>
      <c r="C3" s="3">
        <v>250</v>
      </c>
      <c r="D3" s="6">
        <f t="shared" ref="D3:D24" si="0">(B3*C3)/1000</f>
        <v>0.25</v>
      </c>
      <c r="E3" s="6">
        <f t="shared" ref="E3:E24" si="1">D3/0.746</f>
        <v>0.33512064343163539</v>
      </c>
    </row>
    <row r="4" spans="1:5" ht="15.6" thickBot="1" x14ac:dyDescent="0.3">
      <c r="A4" s="3" t="s">
        <v>54</v>
      </c>
      <c r="B4" s="3">
        <v>1</v>
      </c>
      <c r="C4" s="3">
        <v>450</v>
      </c>
      <c r="D4" s="6">
        <f t="shared" si="0"/>
        <v>0.45</v>
      </c>
      <c r="E4" s="6">
        <f t="shared" si="1"/>
        <v>0.60321715817694377</v>
      </c>
    </row>
    <row r="5" spans="1:5" ht="15.6" thickBot="1" x14ac:dyDescent="0.3">
      <c r="A5" s="3" t="s">
        <v>55</v>
      </c>
      <c r="B5" s="3">
        <v>1</v>
      </c>
      <c r="C5" s="3">
        <v>200</v>
      </c>
      <c r="D5" s="6">
        <f t="shared" si="0"/>
        <v>0.2</v>
      </c>
      <c r="E5" s="6">
        <f t="shared" si="1"/>
        <v>0.26809651474530832</v>
      </c>
    </row>
    <row r="6" spans="1:5" ht="15.6" thickBot="1" x14ac:dyDescent="0.3">
      <c r="A6" s="3" t="s">
        <v>56</v>
      </c>
      <c r="B6" s="3">
        <v>1</v>
      </c>
      <c r="C6" s="3">
        <v>1550</v>
      </c>
      <c r="D6" s="6">
        <f t="shared" si="0"/>
        <v>1.55</v>
      </c>
      <c r="E6" s="6">
        <f t="shared" si="1"/>
        <v>2.0777479892761397</v>
      </c>
    </row>
    <row r="7" spans="1:5" ht="15.6" thickBot="1" x14ac:dyDescent="0.3">
      <c r="A7" s="3" t="s">
        <v>57</v>
      </c>
      <c r="B7" s="3">
        <v>1</v>
      </c>
      <c r="C7" s="3">
        <v>2200</v>
      </c>
      <c r="D7" s="6">
        <f t="shared" si="0"/>
        <v>2.2000000000000002</v>
      </c>
      <c r="E7" s="6">
        <f t="shared" si="1"/>
        <v>2.9490616621983916</v>
      </c>
    </row>
    <row r="8" spans="1:5" ht="15.6" thickBot="1" x14ac:dyDescent="0.3">
      <c r="A8" s="3" t="s">
        <v>58</v>
      </c>
      <c r="B8" s="3">
        <v>1</v>
      </c>
      <c r="C8" s="3">
        <v>1800</v>
      </c>
      <c r="D8" s="6">
        <f t="shared" si="0"/>
        <v>1.8</v>
      </c>
      <c r="E8" s="6">
        <f t="shared" si="1"/>
        <v>2.4128686327077751</v>
      </c>
    </row>
    <row r="9" spans="1:5" ht="15.6" thickBot="1" x14ac:dyDescent="0.3">
      <c r="A9" s="3" t="s">
        <v>59</v>
      </c>
      <c r="B9" s="3">
        <v>2</v>
      </c>
      <c r="C9" s="3">
        <v>750</v>
      </c>
      <c r="D9" s="6">
        <f t="shared" si="0"/>
        <v>1.5</v>
      </c>
      <c r="E9" s="6">
        <f t="shared" si="1"/>
        <v>2.0107238605898123</v>
      </c>
    </row>
    <row r="10" spans="1:5" ht="15.6" thickBot="1" x14ac:dyDescent="0.3">
      <c r="A10" s="3" t="s">
        <v>60</v>
      </c>
      <c r="B10" s="3">
        <v>2</v>
      </c>
      <c r="C10" s="3">
        <v>1200</v>
      </c>
      <c r="D10" s="6">
        <f t="shared" si="0"/>
        <v>2.4</v>
      </c>
      <c r="E10" s="6">
        <f t="shared" si="1"/>
        <v>3.2171581769436997</v>
      </c>
    </row>
    <row r="11" spans="1:5" ht="15.6" thickBot="1" x14ac:dyDescent="0.3">
      <c r="A11" s="3" t="s">
        <v>61</v>
      </c>
      <c r="B11" s="3">
        <v>1</v>
      </c>
      <c r="C11" s="3">
        <v>1500</v>
      </c>
      <c r="D11" s="6">
        <f t="shared" si="0"/>
        <v>1.5</v>
      </c>
      <c r="E11" s="6">
        <f t="shared" si="1"/>
        <v>2.0107238605898123</v>
      </c>
    </row>
    <row r="12" spans="1:5" ht="15.6" thickBot="1" x14ac:dyDescent="0.3">
      <c r="A12" s="3" t="s">
        <v>62</v>
      </c>
      <c r="B12" s="3">
        <v>1</v>
      </c>
      <c r="C12" s="3">
        <v>2400</v>
      </c>
      <c r="D12" s="6">
        <f t="shared" si="0"/>
        <v>2.4</v>
      </c>
      <c r="E12" s="6">
        <f t="shared" si="1"/>
        <v>3.2171581769436997</v>
      </c>
    </row>
    <row r="13" spans="1:5" ht="15.6" thickBot="1" x14ac:dyDescent="0.3">
      <c r="A13" s="3" t="s">
        <v>63</v>
      </c>
      <c r="B13" s="3">
        <v>1</v>
      </c>
      <c r="C13" s="3">
        <v>80</v>
      </c>
      <c r="D13" s="6">
        <f t="shared" si="0"/>
        <v>0.08</v>
      </c>
      <c r="E13" s="6">
        <f t="shared" si="1"/>
        <v>0.10723860589812333</v>
      </c>
    </row>
    <row r="14" spans="1:5" ht="15.6" thickBot="1" x14ac:dyDescent="0.3">
      <c r="A14" s="3" t="s">
        <v>64</v>
      </c>
      <c r="B14" s="3">
        <v>2</v>
      </c>
      <c r="C14" s="3">
        <v>33</v>
      </c>
      <c r="D14" s="6">
        <f t="shared" si="0"/>
        <v>6.6000000000000003E-2</v>
      </c>
      <c r="E14" s="6">
        <f t="shared" si="1"/>
        <v>8.8471849865951746E-2</v>
      </c>
    </row>
    <row r="15" spans="1:5" ht="15.6" thickBot="1" x14ac:dyDescent="0.3">
      <c r="A15" s="3" t="s">
        <v>65</v>
      </c>
      <c r="B15" s="3">
        <v>2</v>
      </c>
      <c r="C15" s="3">
        <v>19</v>
      </c>
      <c r="D15" s="6">
        <f t="shared" si="0"/>
        <v>3.7999999999999999E-2</v>
      </c>
      <c r="E15" s="6">
        <f t="shared" si="1"/>
        <v>5.0938337801608578E-2</v>
      </c>
    </row>
    <row r="16" spans="1:5" ht="15.6" thickBot="1" x14ac:dyDescent="0.3">
      <c r="A16" s="3" t="s">
        <v>66</v>
      </c>
      <c r="B16" s="3">
        <v>1</v>
      </c>
      <c r="C16" s="3">
        <v>80</v>
      </c>
      <c r="D16" s="6">
        <f t="shared" si="0"/>
        <v>0.08</v>
      </c>
      <c r="E16" s="6">
        <f t="shared" si="1"/>
        <v>0.10723860589812333</v>
      </c>
    </row>
    <row r="17" spans="1:5" ht="19.8" thickBot="1" x14ac:dyDescent="0.3">
      <c r="A17" s="3" t="s">
        <v>67</v>
      </c>
      <c r="B17" s="3">
        <v>1</v>
      </c>
      <c r="C17" s="3">
        <v>650</v>
      </c>
      <c r="D17" s="6">
        <f t="shared" si="0"/>
        <v>0.65</v>
      </c>
      <c r="E17" s="6">
        <f t="shared" si="1"/>
        <v>0.87131367292225204</v>
      </c>
    </row>
    <row r="18" spans="1:5" ht="15.6" thickBot="1" x14ac:dyDescent="0.3">
      <c r="A18" s="3" t="s">
        <v>68</v>
      </c>
      <c r="B18" s="3">
        <v>2</v>
      </c>
      <c r="C18" s="3">
        <v>250</v>
      </c>
      <c r="D18" s="6">
        <f t="shared" si="0"/>
        <v>0.5</v>
      </c>
      <c r="E18" s="6">
        <f t="shared" si="1"/>
        <v>0.67024128686327078</v>
      </c>
    </row>
    <row r="19" spans="1:5" ht="15.6" thickBot="1" x14ac:dyDescent="0.3">
      <c r="A19" s="3" t="s">
        <v>69</v>
      </c>
      <c r="B19" s="3">
        <v>3</v>
      </c>
      <c r="C19" s="3">
        <v>85</v>
      </c>
      <c r="D19" s="6">
        <f t="shared" si="0"/>
        <v>0.255</v>
      </c>
      <c r="E19" s="6">
        <f t="shared" si="1"/>
        <v>0.3418230563002681</v>
      </c>
    </row>
    <row r="20" spans="1:5" ht="15.6" thickBot="1" x14ac:dyDescent="0.3">
      <c r="A20" s="3" t="s">
        <v>70</v>
      </c>
      <c r="B20" s="3">
        <v>1</v>
      </c>
      <c r="C20" s="3">
        <v>1800</v>
      </c>
      <c r="D20" s="6">
        <f t="shared" si="0"/>
        <v>1.8</v>
      </c>
      <c r="E20" s="6">
        <f t="shared" si="1"/>
        <v>2.4128686327077751</v>
      </c>
    </row>
    <row r="21" spans="1:5" ht="15.6" thickBot="1" x14ac:dyDescent="0.3">
      <c r="A21" s="3" t="s">
        <v>71</v>
      </c>
      <c r="B21" s="3">
        <v>2</v>
      </c>
      <c r="C21" s="3">
        <v>1119</v>
      </c>
      <c r="D21" s="6">
        <f t="shared" si="0"/>
        <v>2.238</v>
      </c>
      <c r="E21" s="6">
        <f t="shared" si="1"/>
        <v>3</v>
      </c>
    </row>
    <row r="22" spans="1:5" ht="15.6" thickBot="1" x14ac:dyDescent="0.3">
      <c r="A22" s="3" t="s">
        <v>72</v>
      </c>
      <c r="B22" s="3">
        <v>56</v>
      </c>
      <c r="C22" s="3">
        <v>5</v>
      </c>
      <c r="D22" s="6">
        <f t="shared" si="0"/>
        <v>0.28000000000000003</v>
      </c>
      <c r="E22" s="6">
        <f t="shared" si="1"/>
        <v>0.37533512064343166</v>
      </c>
    </row>
    <row r="23" spans="1:5" ht="15.6" thickBot="1" x14ac:dyDescent="0.3">
      <c r="A23" s="3" t="s">
        <v>73</v>
      </c>
      <c r="B23" s="3">
        <v>7</v>
      </c>
      <c r="C23" s="3">
        <v>12</v>
      </c>
      <c r="D23" s="6">
        <f t="shared" si="0"/>
        <v>8.4000000000000005E-2</v>
      </c>
      <c r="E23" s="6">
        <f t="shared" si="1"/>
        <v>0.1126005361930295</v>
      </c>
    </row>
    <row r="24" spans="1:5" ht="15.6" thickBot="1" x14ac:dyDescent="0.3">
      <c r="A24" s="3" t="s">
        <v>74</v>
      </c>
      <c r="B24" s="3">
        <v>1</v>
      </c>
      <c r="C24" s="3">
        <v>746</v>
      </c>
      <c r="D24" s="6">
        <f t="shared" si="0"/>
        <v>0.746</v>
      </c>
      <c r="E24" s="6">
        <f t="shared" si="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8D2C0-A5FF-4E58-9DC6-77FF23A5953D}">
  <dimension ref="A1:E35"/>
  <sheetViews>
    <sheetView workbookViewId="0">
      <selection sqref="A1:E1"/>
    </sheetView>
  </sheetViews>
  <sheetFormatPr defaultRowHeight="15" x14ac:dyDescent="0.25"/>
  <cols>
    <col min="1" max="1" width="7.81640625" bestFit="1" customWidth="1"/>
    <col min="2" max="2" width="3.54296875" bestFit="1" customWidth="1"/>
    <col min="3" max="3" width="10.7265625" bestFit="1" customWidth="1"/>
    <col min="4" max="4" width="10.7265625" customWidth="1"/>
    <col min="5" max="5" width="9.36328125" bestFit="1" customWidth="1"/>
  </cols>
  <sheetData>
    <row r="1" spans="1:5" x14ac:dyDescent="0.25">
      <c r="A1" s="1" t="s">
        <v>1</v>
      </c>
      <c r="B1" s="1" t="s">
        <v>2</v>
      </c>
      <c r="C1" s="1" t="s">
        <v>3</v>
      </c>
      <c r="D1" s="1" t="s">
        <v>51</v>
      </c>
      <c r="E1" s="1" t="s">
        <v>50</v>
      </c>
    </row>
    <row r="2" spans="1:5" ht="15.6" thickBot="1" x14ac:dyDescent="0.3">
      <c r="A2" s="7" t="s">
        <v>4</v>
      </c>
      <c r="B2" s="7">
        <v>11</v>
      </c>
      <c r="C2" s="7">
        <v>160</v>
      </c>
      <c r="D2" s="9">
        <f>(B2*C2)/1000</f>
        <v>1.76</v>
      </c>
      <c r="E2" s="9">
        <f>D2/0.746</f>
        <v>2.3592493297587134</v>
      </c>
    </row>
    <row r="3" spans="1:5" ht="15.6" thickBot="1" x14ac:dyDescent="0.3">
      <c r="A3" s="8" t="s">
        <v>6</v>
      </c>
      <c r="B3" s="8">
        <v>6</v>
      </c>
      <c r="C3" s="8">
        <v>810</v>
      </c>
      <c r="D3" s="9">
        <f t="shared" ref="D3:D35" si="0">(B3*C3)/1000</f>
        <v>4.8600000000000003</v>
      </c>
      <c r="E3" s="9">
        <f t="shared" ref="E3:E35" si="1">D3/0.746</f>
        <v>6.5147453083109923</v>
      </c>
    </row>
    <row r="4" spans="1:5" ht="15.6" thickBot="1" x14ac:dyDescent="0.3">
      <c r="A4" s="7" t="s">
        <v>8</v>
      </c>
      <c r="B4" s="7">
        <v>75</v>
      </c>
      <c r="C4" s="7">
        <v>65</v>
      </c>
      <c r="D4" s="9">
        <f t="shared" si="0"/>
        <v>4.875</v>
      </c>
      <c r="E4" s="9">
        <f t="shared" si="1"/>
        <v>6.5348525469168903</v>
      </c>
    </row>
    <row r="5" spans="1:5" ht="15.6" thickBot="1" x14ac:dyDescent="0.3">
      <c r="A5" s="7" t="s">
        <v>10</v>
      </c>
      <c r="B5" s="7">
        <v>1</v>
      </c>
      <c r="C5" s="7">
        <v>4</v>
      </c>
      <c r="D5" s="9">
        <f t="shared" si="0"/>
        <v>4.0000000000000001E-3</v>
      </c>
      <c r="E5" s="9">
        <f t="shared" si="1"/>
        <v>5.3619302949061663E-3</v>
      </c>
    </row>
    <row r="6" spans="1:5" ht="15.6" thickBot="1" x14ac:dyDescent="0.3">
      <c r="A6" s="7" t="s">
        <v>12</v>
      </c>
      <c r="B6" s="7">
        <v>6</v>
      </c>
      <c r="C6" s="7">
        <v>4500</v>
      </c>
      <c r="D6" s="9">
        <f t="shared" si="0"/>
        <v>27</v>
      </c>
      <c r="E6" s="9">
        <f t="shared" si="1"/>
        <v>36.193029490616624</v>
      </c>
    </row>
    <row r="7" spans="1:5" ht="15.6" thickBot="1" x14ac:dyDescent="0.3">
      <c r="A7" s="7" t="s">
        <v>13</v>
      </c>
      <c r="B7" s="7">
        <v>1</v>
      </c>
      <c r="C7" s="7">
        <v>4450</v>
      </c>
      <c r="D7" s="9">
        <f t="shared" si="0"/>
        <v>4.45</v>
      </c>
      <c r="E7" s="9">
        <f t="shared" si="1"/>
        <v>5.9651474530831106</v>
      </c>
    </row>
    <row r="8" spans="1:5" ht="15.6" thickBot="1" x14ac:dyDescent="0.3">
      <c r="A8" s="7" t="s">
        <v>14</v>
      </c>
      <c r="B8" s="7">
        <v>1</v>
      </c>
      <c r="C8" s="7">
        <v>1180</v>
      </c>
      <c r="D8" s="9">
        <f t="shared" si="0"/>
        <v>1.18</v>
      </c>
      <c r="E8" s="9">
        <f t="shared" si="1"/>
        <v>1.581769436997319</v>
      </c>
    </row>
    <row r="9" spans="1:5" ht="15.6" thickBot="1" x14ac:dyDescent="0.3">
      <c r="A9" s="7" t="s">
        <v>15</v>
      </c>
      <c r="B9" s="7">
        <v>2</v>
      </c>
      <c r="C9" s="7">
        <v>860</v>
      </c>
      <c r="D9" s="9">
        <f t="shared" si="0"/>
        <v>1.72</v>
      </c>
      <c r="E9" s="9">
        <f t="shared" si="1"/>
        <v>2.3056300268096512</v>
      </c>
    </row>
    <row r="10" spans="1:5" ht="15.6" thickBot="1" x14ac:dyDescent="0.3">
      <c r="A10" s="7" t="s">
        <v>17</v>
      </c>
      <c r="B10" s="7">
        <v>3</v>
      </c>
      <c r="C10" s="7">
        <v>160</v>
      </c>
      <c r="D10" s="9">
        <f t="shared" si="0"/>
        <v>0.48</v>
      </c>
      <c r="E10" s="9">
        <f t="shared" si="1"/>
        <v>0.64343163538873993</v>
      </c>
    </row>
    <row r="11" spans="1:5" ht="15.6" thickBot="1" x14ac:dyDescent="0.3">
      <c r="A11" s="7" t="s">
        <v>19</v>
      </c>
      <c r="B11" s="7">
        <v>1</v>
      </c>
      <c r="C11" s="7">
        <v>1232</v>
      </c>
      <c r="D11" s="9">
        <f t="shared" si="0"/>
        <v>1.232</v>
      </c>
      <c r="E11" s="9">
        <f t="shared" si="1"/>
        <v>1.6514745308310992</v>
      </c>
    </row>
    <row r="12" spans="1:5" ht="15.6" thickBot="1" x14ac:dyDescent="0.3">
      <c r="A12" s="7" t="s">
        <v>20</v>
      </c>
      <c r="B12" s="7">
        <v>2</v>
      </c>
      <c r="C12" s="7">
        <v>1800</v>
      </c>
      <c r="D12" s="9">
        <f t="shared" si="0"/>
        <v>3.6</v>
      </c>
      <c r="E12" s="9">
        <f t="shared" si="1"/>
        <v>4.8257372654155501</v>
      </c>
    </row>
    <row r="13" spans="1:5" ht="15.6" thickBot="1" x14ac:dyDescent="0.3">
      <c r="A13" s="7" t="s">
        <v>21</v>
      </c>
      <c r="B13" s="7">
        <v>1</v>
      </c>
      <c r="C13" s="7">
        <v>1600</v>
      </c>
      <c r="D13" s="9">
        <f t="shared" si="0"/>
        <v>1.6</v>
      </c>
      <c r="E13" s="9">
        <f t="shared" si="1"/>
        <v>2.1447721179624666</v>
      </c>
    </row>
    <row r="14" spans="1:5" ht="15.6" thickBot="1" x14ac:dyDescent="0.3">
      <c r="A14" s="7" t="s">
        <v>22</v>
      </c>
      <c r="B14" s="7">
        <v>1</v>
      </c>
      <c r="C14" s="7">
        <v>200</v>
      </c>
      <c r="D14" s="9">
        <f t="shared" si="0"/>
        <v>0.2</v>
      </c>
      <c r="E14" s="9">
        <f t="shared" si="1"/>
        <v>0.26809651474530832</v>
      </c>
    </row>
    <row r="15" spans="1:5" ht="15.6" thickBot="1" x14ac:dyDescent="0.3">
      <c r="A15" s="7" t="s">
        <v>23</v>
      </c>
      <c r="B15" s="7">
        <v>5</v>
      </c>
      <c r="C15" s="7">
        <v>5222</v>
      </c>
      <c r="D15" s="9">
        <f t="shared" si="0"/>
        <v>26.11</v>
      </c>
      <c r="E15" s="9">
        <f t="shared" si="1"/>
        <v>35</v>
      </c>
    </row>
    <row r="16" spans="1:5" ht="15.6" thickBot="1" x14ac:dyDescent="0.3">
      <c r="A16" s="7" t="s">
        <v>25</v>
      </c>
      <c r="B16" s="7">
        <v>1</v>
      </c>
      <c r="C16" s="7">
        <v>2238</v>
      </c>
      <c r="D16" s="9">
        <f t="shared" si="0"/>
        <v>2.238</v>
      </c>
      <c r="E16" s="9">
        <f t="shared" si="1"/>
        <v>3</v>
      </c>
    </row>
    <row r="17" spans="1:5" ht="15.6" thickBot="1" x14ac:dyDescent="0.3">
      <c r="A17" s="7" t="s">
        <v>26</v>
      </c>
      <c r="B17" s="7">
        <v>1</v>
      </c>
      <c r="C17" s="7">
        <v>2984</v>
      </c>
      <c r="D17" s="9">
        <f t="shared" si="0"/>
        <v>2.984</v>
      </c>
      <c r="E17" s="9">
        <f t="shared" si="1"/>
        <v>4</v>
      </c>
    </row>
    <row r="18" spans="1:5" ht="15.6" thickBot="1" x14ac:dyDescent="0.3">
      <c r="A18" s="7" t="s">
        <v>27</v>
      </c>
      <c r="B18" s="7">
        <v>1</v>
      </c>
      <c r="C18" s="7">
        <v>746</v>
      </c>
      <c r="D18" s="9">
        <f t="shared" si="0"/>
        <v>0.746</v>
      </c>
      <c r="E18" s="9">
        <f t="shared" si="1"/>
        <v>1</v>
      </c>
    </row>
    <row r="19" spans="1:5" ht="15.6" thickBot="1" x14ac:dyDescent="0.3">
      <c r="A19" s="7" t="s">
        <v>28</v>
      </c>
      <c r="B19" s="7">
        <v>2</v>
      </c>
      <c r="C19" s="7">
        <v>5222</v>
      </c>
      <c r="D19" s="9">
        <f t="shared" si="0"/>
        <v>10.444000000000001</v>
      </c>
      <c r="E19" s="9">
        <f t="shared" si="1"/>
        <v>14.000000000000002</v>
      </c>
    </row>
    <row r="20" spans="1:5" ht="15.6" thickBot="1" x14ac:dyDescent="0.3">
      <c r="A20" s="7" t="s">
        <v>29</v>
      </c>
      <c r="B20" s="7">
        <v>1</v>
      </c>
      <c r="C20" s="7">
        <v>200</v>
      </c>
      <c r="D20" s="9">
        <f t="shared" si="0"/>
        <v>0.2</v>
      </c>
      <c r="E20" s="9">
        <f t="shared" si="1"/>
        <v>0.26809651474530832</v>
      </c>
    </row>
    <row r="21" spans="1:5" ht="15.6" thickBot="1" x14ac:dyDescent="0.3">
      <c r="A21" s="7" t="s">
        <v>30</v>
      </c>
      <c r="B21" s="7">
        <v>1</v>
      </c>
      <c r="C21" s="7">
        <v>500</v>
      </c>
      <c r="D21" s="9">
        <f t="shared" si="0"/>
        <v>0.5</v>
      </c>
      <c r="E21" s="9">
        <f t="shared" si="1"/>
        <v>0.67024128686327078</v>
      </c>
    </row>
    <row r="22" spans="1:5" ht="15.6" thickBot="1" x14ac:dyDescent="0.3">
      <c r="A22" s="7" t="s">
        <v>31</v>
      </c>
      <c r="B22" s="7">
        <v>9</v>
      </c>
      <c r="C22" s="7">
        <v>20</v>
      </c>
      <c r="D22" s="9">
        <f t="shared" si="0"/>
        <v>0.18</v>
      </c>
      <c r="E22" s="9">
        <f t="shared" si="1"/>
        <v>0.24128686327077747</v>
      </c>
    </row>
    <row r="23" spans="1:5" ht="15.6" thickBot="1" x14ac:dyDescent="0.3">
      <c r="A23" s="7" t="s">
        <v>33</v>
      </c>
      <c r="B23" s="7">
        <v>111</v>
      </c>
      <c r="C23" s="7">
        <v>20</v>
      </c>
      <c r="D23" s="9">
        <f t="shared" si="0"/>
        <v>2.2200000000000002</v>
      </c>
      <c r="E23" s="9">
        <f t="shared" si="1"/>
        <v>2.9758713136729225</v>
      </c>
    </row>
    <row r="24" spans="1:5" ht="15.6" thickBot="1" x14ac:dyDescent="0.3">
      <c r="A24" s="7" t="s">
        <v>35</v>
      </c>
      <c r="B24" s="7">
        <v>75</v>
      </c>
      <c r="C24" s="7">
        <v>3</v>
      </c>
      <c r="D24" s="9">
        <f t="shared" si="0"/>
        <v>0.22500000000000001</v>
      </c>
      <c r="E24" s="9">
        <f t="shared" si="1"/>
        <v>0.30160857908847188</v>
      </c>
    </row>
    <row r="25" spans="1:5" ht="15.6" thickBot="1" x14ac:dyDescent="0.3">
      <c r="A25" s="7" t="s">
        <v>36</v>
      </c>
      <c r="B25" s="7">
        <v>24</v>
      </c>
      <c r="C25" s="7">
        <v>12</v>
      </c>
      <c r="D25" s="9">
        <f t="shared" si="0"/>
        <v>0.28799999999999998</v>
      </c>
      <c r="E25" s="9">
        <f t="shared" si="1"/>
        <v>0.38605898123324395</v>
      </c>
    </row>
    <row r="26" spans="1:5" ht="15.6" thickBot="1" x14ac:dyDescent="0.3">
      <c r="A26" s="7" t="s">
        <v>38</v>
      </c>
      <c r="B26" s="7">
        <v>1</v>
      </c>
      <c r="C26" s="7">
        <v>80</v>
      </c>
      <c r="D26" s="9">
        <f t="shared" si="0"/>
        <v>0.08</v>
      </c>
      <c r="E26" s="9">
        <f t="shared" si="1"/>
        <v>0.10723860589812333</v>
      </c>
    </row>
    <row r="27" spans="1:5" ht="15.6" thickBot="1" x14ac:dyDescent="0.3">
      <c r="A27" s="7" t="s">
        <v>39</v>
      </c>
      <c r="B27" s="7">
        <v>1</v>
      </c>
      <c r="C27" s="7">
        <v>1000</v>
      </c>
      <c r="D27" s="9">
        <f t="shared" si="0"/>
        <v>1</v>
      </c>
      <c r="E27" s="9">
        <f t="shared" si="1"/>
        <v>1.3404825737265416</v>
      </c>
    </row>
    <row r="28" spans="1:5" ht="15.6" thickBot="1" x14ac:dyDescent="0.3">
      <c r="A28" s="7" t="s">
        <v>40</v>
      </c>
      <c r="B28" s="7">
        <v>1</v>
      </c>
      <c r="C28" s="7">
        <v>125</v>
      </c>
      <c r="D28" s="9">
        <f t="shared" si="0"/>
        <v>0.125</v>
      </c>
      <c r="E28" s="9">
        <f t="shared" si="1"/>
        <v>0.16756032171581769</v>
      </c>
    </row>
    <row r="29" spans="1:5" ht="15.6" thickBot="1" x14ac:dyDescent="0.3">
      <c r="A29" s="7" t="s">
        <v>41</v>
      </c>
      <c r="B29" s="7">
        <v>30</v>
      </c>
      <c r="C29" s="7">
        <v>25</v>
      </c>
      <c r="D29" s="9">
        <f t="shared" si="0"/>
        <v>0.75</v>
      </c>
      <c r="E29" s="9">
        <f t="shared" si="1"/>
        <v>1.0053619302949062</v>
      </c>
    </row>
    <row r="30" spans="1:5" ht="15.6" thickBot="1" x14ac:dyDescent="0.3">
      <c r="A30" s="7" t="s">
        <v>43</v>
      </c>
      <c r="B30" s="7">
        <v>1</v>
      </c>
      <c r="C30" s="7">
        <v>200</v>
      </c>
      <c r="D30" s="9">
        <f t="shared" si="0"/>
        <v>0.2</v>
      </c>
      <c r="E30" s="9">
        <f t="shared" si="1"/>
        <v>0.26809651474530832</v>
      </c>
    </row>
    <row r="31" spans="1:5" ht="15.6" thickBot="1" x14ac:dyDescent="0.3">
      <c r="A31" s="7" t="s">
        <v>44</v>
      </c>
      <c r="B31" s="7">
        <v>2</v>
      </c>
      <c r="C31" s="7">
        <v>1200</v>
      </c>
      <c r="D31" s="9">
        <f t="shared" si="0"/>
        <v>2.4</v>
      </c>
      <c r="E31" s="9">
        <f t="shared" si="1"/>
        <v>3.2171581769436997</v>
      </c>
    </row>
    <row r="32" spans="1:5" ht="15.6" thickBot="1" x14ac:dyDescent="0.3">
      <c r="A32" s="7" t="s">
        <v>45</v>
      </c>
      <c r="B32" s="7">
        <v>1</v>
      </c>
      <c r="C32" s="7">
        <v>1000</v>
      </c>
      <c r="D32" s="9">
        <f t="shared" si="0"/>
        <v>1</v>
      </c>
      <c r="E32" s="9">
        <f t="shared" si="1"/>
        <v>1.3404825737265416</v>
      </c>
    </row>
    <row r="33" spans="1:5" ht="15.6" thickBot="1" x14ac:dyDescent="0.3">
      <c r="A33" s="7" t="s">
        <v>46</v>
      </c>
      <c r="B33" s="7">
        <v>1</v>
      </c>
      <c r="C33" s="7">
        <v>80</v>
      </c>
      <c r="D33" s="9">
        <f t="shared" si="0"/>
        <v>0.08</v>
      </c>
      <c r="E33" s="9">
        <f t="shared" si="1"/>
        <v>0.10723860589812333</v>
      </c>
    </row>
    <row r="34" spans="1:5" ht="15.6" thickBot="1" x14ac:dyDescent="0.3">
      <c r="A34" s="7" t="s">
        <v>47</v>
      </c>
      <c r="B34" s="7">
        <v>1</v>
      </c>
      <c r="C34" s="7">
        <v>746</v>
      </c>
      <c r="D34" s="9">
        <f t="shared" si="0"/>
        <v>0.746</v>
      </c>
      <c r="E34" s="9">
        <f t="shared" si="1"/>
        <v>1</v>
      </c>
    </row>
    <row r="35" spans="1:5" ht="15.6" thickBot="1" x14ac:dyDescent="0.3">
      <c r="A35" s="7" t="s">
        <v>48</v>
      </c>
      <c r="B35" s="7">
        <v>1</v>
      </c>
      <c r="C35" s="7">
        <v>3730</v>
      </c>
      <c r="D35" s="9">
        <f t="shared" si="0"/>
        <v>3.73</v>
      </c>
      <c r="E35" s="9">
        <f t="shared" si="1"/>
        <v>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4354F-8529-4AE8-8214-2934D181C19F}">
  <dimension ref="A1:E4"/>
  <sheetViews>
    <sheetView workbookViewId="0">
      <selection sqref="A1:E1"/>
    </sheetView>
  </sheetViews>
  <sheetFormatPr defaultRowHeight="13.8" x14ac:dyDescent="0.25"/>
  <cols>
    <col min="1" max="1" width="14.81640625" style="10" bestFit="1" customWidth="1"/>
    <col min="2" max="2" width="3.26953125" style="10" bestFit="1" customWidth="1"/>
    <col min="3" max="3" width="4.453125" style="10" bestFit="1" customWidth="1"/>
    <col min="4" max="4" width="9.7265625" style="10" bestFit="1" customWidth="1"/>
    <col min="5" max="5" width="8.36328125" style="10" bestFit="1" customWidth="1"/>
    <col min="6" max="16384" width="8.7265625" style="10"/>
  </cols>
  <sheetData>
    <row r="1" spans="1:5" x14ac:dyDescent="0.25">
      <c r="A1" s="5" t="s">
        <v>1</v>
      </c>
      <c r="B1" s="5" t="s">
        <v>2</v>
      </c>
      <c r="C1" s="5" t="s">
        <v>3</v>
      </c>
      <c r="D1" s="5" t="s">
        <v>51</v>
      </c>
      <c r="E1" s="5" t="s">
        <v>50</v>
      </c>
    </row>
    <row r="2" spans="1:5" ht="14.4" thickBot="1" x14ac:dyDescent="0.3">
      <c r="A2" s="11" t="s">
        <v>75</v>
      </c>
      <c r="B2" s="11">
        <v>1</v>
      </c>
      <c r="C2" s="11">
        <v>660</v>
      </c>
      <c r="D2" s="12">
        <f>(B2*C2)/1000</f>
        <v>0.66</v>
      </c>
      <c r="E2" s="12">
        <f>D2/0.746</f>
        <v>0.88471849865951746</v>
      </c>
    </row>
    <row r="3" spans="1:5" ht="14.4" thickBot="1" x14ac:dyDescent="0.3">
      <c r="A3" s="11" t="s">
        <v>76</v>
      </c>
      <c r="B3" s="11">
        <v>2</v>
      </c>
      <c r="C3" s="11">
        <v>20</v>
      </c>
      <c r="D3" s="12">
        <f t="shared" ref="D3:D4" si="0">(B3*C3)/1000</f>
        <v>0.04</v>
      </c>
      <c r="E3" s="12">
        <f t="shared" ref="E3:E4" si="1">D3/0.746</f>
        <v>5.3619302949061663E-2</v>
      </c>
    </row>
    <row r="4" spans="1:5" ht="14.4" thickBot="1" x14ac:dyDescent="0.3">
      <c r="A4" s="11" t="s">
        <v>77</v>
      </c>
      <c r="B4" s="11">
        <v>1</v>
      </c>
      <c r="C4" s="11">
        <v>3076</v>
      </c>
      <c r="D4" s="12">
        <f t="shared" si="0"/>
        <v>3.0760000000000001</v>
      </c>
      <c r="E4" s="12">
        <f t="shared" si="1"/>
        <v>4.1233243967828423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8640A-5C3B-49E2-8688-626DA59C95BB}">
  <dimension ref="A1:E21"/>
  <sheetViews>
    <sheetView workbookViewId="0">
      <selection sqref="A1:E1"/>
    </sheetView>
  </sheetViews>
  <sheetFormatPr defaultRowHeight="15" x14ac:dyDescent="0.25"/>
  <cols>
    <col min="1" max="1" width="21.08984375" bestFit="1" customWidth="1"/>
    <col min="2" max="2" width="3.26953125" bestFit="1" customWidth="1"/>
    <col min="3" max="3" width="4.453125" bestFit="1" customWidth="1"/>
    <col min="4" max="4" width="9.7265625" bestFit="1" customWidth="1"/>
    <col min="5" max="5" width="8.36328125" bestFit="1" customWidth="1"/>
  </cols>
  <sheetData>
    <row r="1" spans="1:5" x14ac:dyDescent="0.25">
      <c r="A1" s="5" t="s">
        <v>1</v>
      </c>
      <c r="B1" s="5" t="s">
        <v>2</v>
      </c>
      <c r="C1" s="5" t="s">
        <v>3</v>
      </c>
      <c r="D1" s="5" t="s">
        <v>51</v>
      </c>
      <c r="E1" s="5" t="s">
        <v>50</v>
      </c>
    </row>
    <row r="2" spans="1:5" x14ac:dyDescent="0.25">
      <c r="A2" s="5" t="s">
        <v>78</v>
      </c>
      <c r="B2" s="5">
        <v>2</v>
      </c>
      <c r="C2" s="5">
        <v>746</v>
      </c>
      <c r="D2" s="13">
        <f>(B2*C2)/1000</f>
        <v>1.492</v>
      </c>
      <c r="E2" s="13">
        <f>D2/0.746</f>
        <v>2</v>
      </c>
    </row>
    <row r="3" spans="1:5" x14ac:dyDescent="0.25">
      <c r="A3" s="5" t="s">
        <v>79</v>
      </c>
      <c r="B3" s="5">
        <v>24</v>
      </c>
      <c r="C3" s="5">
        <v>200</v>
      </c>
      <c r="D3" s="13">
        <f t="shared" ref="D3:D21" si="0">(B3*C3)/1000</f>
        <v>4.8</v>
      </c>
      <c r="E3" s="13">
        <f t="shared" ref="E3:E21" si="1">D3/0.746</f>
        <v>6.4343163538873993</v>
      </c>
    </row>
    <row r="4" spans="1:5" x14ac:dyDescent="0.25">
      <c r="A4" s="5" t="s">
        <v>80</v>
      </c>
      <c r="B4" s="5">
        <v>14</v>
      </c>
      <c r="C4" s="5">
        <v>150</v>
      </c>
      <c r="D4" s="13">
        <f t="shared" si="0"/>
        <v>2.1</v>
      </c>
      <c r="E4" s="13">
        <f t="shared" si="1"/>
        <v>2.8150134048257374</v>
      </c>
    </row>
    <row r="5" spans="1:5" x14ac:dyDescent="0.25">
      <c r="A5" s="5" t="s">
        <v>81</v>
      </c>
      <c r="B5" s="5">
        <v>67</v>
      </c>
      <c r="C5" s="5">
        <v>5</v>
      </c>
      <c r="D5" s="13">
        <f t="shared" si="0"/>
        <v>0.33500000000000002</v>
      </c>
      <c r="E5" s="13">
        <f t="shared" si="1"/>
        <v>0.44906166219839144</v>
      </c>
    </row>
    <row r="6" spans="1:5" x14ac:dyDescent="0.25">
      <c r="A6" s="5" t="s">
        <v>82</v>
      </c>
      <c r="B6" s="5">
        <v>3</v>
      </c>
      <c r="C6" s="5">
        <v>2429</v>
      </c>
      <c r="D6" s="13">
        <f t="shared" si="0"/>
        <v>7.2869999999999999</v>
      </c>
      <c r="E6" s="13">
        <f t="shared" si="1"/>
        <v>9.7680965147453076</v>
      </c>
    </row>
    <row r="7" spans="1:5" x14ac:dyDescent="0.25">
      <c r="A7" s="5" t="s">
        <v>29</v>
      </c>
      <c r="B7" s="5">
        <v>2</v>
      </c>
      <c r="C7" s="5">
        <v>200</v>
      </c>
      <c r="D7" s="13">
        <f t="shared" si="0"/>
        <v>0.4</v>
      </c>
      <c r="E7" s="13">
        <f t="shared" si="1"/>
        <v>0.53619302949061665</v>
      </c>
    </row>
    <row r="8" spans="1:5" x14ac:dyDescent="0.25">
      <c r="A8" s="5" t="s">
        <v>78</v>
      </c>
      <c r="B8" s="5">
        <v>1</v>
      </c>
      <c r="C8" s="5">
        <v>746</v>
      </c>
      <c r="D8" s="13">
        <f t="shared" si="0"/>
        <v>0.746</v>
      </c>
      <c r="E8" s="13">
        <f t="shared" si="1"/>
        <v>1</v>
      </c>
    </row>
    <row r="9" spans="1:5" x14ac:dyDescent="0.25">
      <c r="A9" s="5" t="s">
        <v>83</v>
      </c>
      <c r="B9" s="5">
        <v>1</v>
      </c>
      <c r="C9" s="5">
        <v>2984</v>
      </c>
      <c r="D9" s="13">
        <f t="shared" si="0"/>
        <v>2.984</v>
      </c>
      <c r="E9" s="13">
        <f t="shared" si="1"/>
        <v>4</v>
      </c>
    </row>
    <row r="10" spans="1:5" x14ac:dyDescent="0.25">
      <c r="A10" s="5" t="s">
        <v>84</v>
      </c>
      <c r="B10" s="5">
        <v>3</v>
      </c>
      <c r="C10" s="5">
        <v>220</v>
      </c>
      <c r="D10" s="13">
        <f t="shared" si="0"/>
        <v>0.66</v>
      </c>
      <c r="E10" s="13">
        <f t="shared" si="1"/>
        <v>0.88471849865951746</v>
      </c>
    </row>
    <row r="11" spans="1:5" x14ac:dyDescent="0.25">
      <c r="A11" s="5" t="s">
        <v>85</v>
      </c>
      <c r="B11" s="5">
        <v>2</v>
      </c>
      <c r="C11" s="5">
        <v>100</v>
      </c>
      <c r="D11" s="13">
        <f t="shared" si="0"/>
        <v>0.2</v>
      </c>
      <c r="E11" s="13">
        <f t="shared" si="1"/>
        <v>0.26809651474530832</v>
      </c>
    </row>
    <row r="12" spans="1:5" x14ac:dyDescent="0.25">
      <c r="A12" s="5" t="s">
        <v>86</v>
      </c>
      <c r="B12" s="5">
        <v>3</v>
      </c>
      <c r="C12" s="5">
        <v>80</v>
      </c>
      <c r="D12" s="13">
        <f t="shared" si="0"/>
        <v>0.24</v>
      </c>
      <c r="E12" s="13">
        <f t="shared" si="1"/>
        <v>0.32171581769436997</v>
      </c>
    </row>
    <row r="13" spans="1:5" x14ac:dyDescent="0.25">
      <c r="A13" s="5" t="s">
        <v>87</v>
      </c>
      <c r="B13" s="5">
        <v>1</v>
      </c>
      <c r="C13" s="5">
        <v>1540</v>
      </c>
      <c r="D13" s="13">
        <f t="shared" si="0"/>
        <v>1.54</v>
      </c>
      <c r="E13" s="13">
        <f t="shared" si="1"/>
        <v>2.064343163538874</v>
      </c>
    </row>
    <row r="14" spans="1:5" x14ac:dyDescent="0.25">
      <c r="A14" s="5" t="s">
        <v>88</v>
      </c>
      <c r="B14" s="5">
        <v>3</v>
      </c>
      <c r="C14" s="5">
        <v>100</v>
      </c>
      <c r="D14" s="13">
        <f t="shared" si="0"/>
        <v>0.3</v>
      </c>
      <c r="E14" s="13">
        <f t="shared" si="1"/>
        <v>0.40214477211796246</v>
      </c>
    </row>
    <row r="15" spans="1:5" x14ac:dyDescent="0.25">
      <c r="A15" s="5" t="s">
        <v>89</v>
      </c>
      <c r="B15" s="5">
        <v>31</v>
      </c>
      <c r="C15" s="5">
        <v>15</v>
      </c>
      <c r="D15" s="13">
        <f t="shared" si="0"/>
        <v>0.46500000000000002</v>
      </c>
      <c r="E15" s="13">
        <f t="shared" si="1"/>
        <v>0.62332439678284191</v>
      </c>
    </row>
    <row r="16" spans="1:5" x14ac:dyDescent="0.25">
      <c r="A16" s="5" t="s">
        <v>90</v>
      </c>
      <c r="B16" s="5">
        <v>1</v>
      </c>
      <c r="C16" s="5">
        <v>250</v>
      </c>
      <c r="D16" s="13">
        <f t="shared" si="0"/>
        <v>0.25</v>
      </c>
      <c r="E16" s="13">
        <f t="shared" si="1"/>
        <v>0.33512064343163539</v>
      </c>
    </row>
    <row r="17" spans="1:5" x14ac:dyDescent="0.25">
      <c r="A17" s="5" t="s">
        <v>91</v>
      </c>
      <c r="B17" s="5">
        <v>1</v>
      </c>
      <c r="C17" s="5">
        <v>100</v>
      </c>
      <c r="D17" s="13">
        <f t="shared" si="0"/>
        <v>0.1</v>
      </c>
      <c r="E17" s="13">
        <f t="shared" si="1"/>
        <v>0.13404825737265416</v>
      </c>
    </row>
    <row r="18" spans="1:5" x14ac:dyDescent="0.25">
      <c r="A18" s="5" t="s">
        <v>92</v>
      </c>
      <c r="B18" s="5">
        <v>1</v>
      </c>
      <c r="C18" s="5">
        <v>8227</v>
      </c>
      <c r="D18" s="13">
        <f t="shared" si="0"/>
        <v>8.2270000000000003</v>
      </c>
      <c r="E18" s="13">
        <f t="shared" si="1"/>
        <v>11.028150134048257</v>
      </c>
    </row>
    <row r="19" spans="1:5" x14ac:dyDescent="0.25">
      <c r="A19" s="5" t="s">
        <v>93</v>
      </c>
      <c r="B19" s="5">
        <v>1</v>
      </c>
      <c r="C19" s="5">
        <v>4936</v>
      </c>
      <c r="D19" s="13">
        <f t="shared" si="0"/>
        <v>4.9359999999999999</v>
      </c>
      <c r="E19" s="13">
        <f t="shared" si="1"/>
        <v>6.6166219839142091</v>
      </c>
    </row>
    <row r="20" spans="1:5" x14ac:dyDescent="0.25">
      <c r="A20" s="5" t="s">
        <v>94</v>
      </c>
      <c r="B20" s="5">
        <v>2</v>
      </c>
      <c r="C20" s="5">
        <v>2429</v>
      </c>
      <c r="D20" s="13">
        <f t="shared" si="0"/>
        <v>4.8579999999999997</v>
      </c>
      <c r="E20" s="13">
        <f t="shared" si="1"/>
        <v>6.5120643431635381</v>
      </c>
    </row>
    <row r="21" spans="1:5" x14ac:dyDescent="0.25">
      <c r="A21" s="5" t="s">
        <v>95</v>
      </c>
      <c r="B21" s="5">
        <v>2</v>
      </c>
      <c r="C21" s="5">
        <v>1492</v>
      </c>
      <c r="D21" s="13">
        <f t="shared" si="0"/>
        <v>2.984</v>
      </c>
      <c r="E21" s="13">
        <f t="shared" si="1"/>
        <v>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A6C67-8CC4-4F2E-BD3D-EBA52272C536}">
  <dimension ref="A1:E31"/>
  <sheetViews>
    <sheetView workbookViewId="0">
      <selection activeCell="K25" sqref="K25"/>
    </sheetView>
  </sheetViews>
  <sheetFormatPr defaultRowHeight="15" x14ac:dyDescent="0.25"/>
  <cols>
    <col min="1" max="1" width="21.7265625" bestFit="1" customWidth="1"/>
    <col min="2" max="2" width="3.54296875" bestFit="1" customWidth="1"/>
    <col min="3" max="3" width="5.36328125" bestFit="1" customWidth="1"/>
    <col min="4" max="4" width="9.7265625" bestFit="1" customWidth="1"/>
    <col min="5" max="5" width="8.36328125" bestFit="1" customWidth="1"/>
  </cols>
  <sheetData>
    <row r="1" spans="1:5" x14ac:dyDescent="0.25">
      <c r="A1" s="5" t="s">
        <v>1</v>
      </c>
      <c r="B1" s="5" t="s">
        <v>2</v>
      </c>
      <c r="C1" s="5" t="s">
        <v>3</v>
      </c>
      <c r="D1" s="5" t="s">
        <v>51</v>
      </c>
      <c r="E1" s="5" t="s">
        <v>50</v>
      </c>
    </row>
    <row r="2" spans="1:5" x14ac:dyDescent="0.25">
      <c r="A2" s="5" t="s">
        <v>96</v>
      </c>
      <c r="B2" s="5">
        <v>5</v>
      </c>
      <c r="C2" s="5">
        <v>2500</v>
      </c>
      <c r="D2" s="13">
        <f>(B2*C2)/1000</f>
        <v>12.5</v>
      </c>
      <c r="E2" s="13">
        <f>D2/0.746</f>
        <v>16.756032171581769</v>
      </c>
    </row>
    <row r="3" spans="1:5" x14ac:dyDescent="0.25">
      <c r="A3" s="5" t="s">
        <v>97</v>
      </c>
      <c r="B3" s="5">
        <v>2</v>
      </c>
      <c r="C3" s="5">
        <v>150</v>
      </c>
      <c r="D3" s="13">
        <f t="shared" ref="D3:D31" si="0">(B3*C3)/1000</f>
        <v>0.3</v>
      </c>
      <c r="E3" s="13">
        <f t="shared" ref="E3:E31" si="1">D3/0.746</f>
        <v>0.40214477211796246</v>
      </c>
    </row>
    <row r="4" spans="1:5" x14ac:dyDescent="0.25">
      <c r="A4" s="5" t="s">
        <v>98</v>
      </c>
      <c r="B4" s="5">
        <v>4</v>
      </c>
      <c r="C4" s="5">
        <v>250</v>
      </c>
      <c r="D4" s="13">
        <f t="shared" si="0"/>
        <v>1</v>
      </c>
      <c r="E4" s="13">
        <f t="shared" si="1"/>
        <v>1.3404825737265416</v>
      </c>
    </row>
    <row r="5" spans="1:5" x14ac:dyDescent="0.25">
      <c r="A5" s="5" t="s">
        <v>99</v>
      </c>
      <c r="B5" s="5">
        <v>1</v>
      </c>
      <c r="C5" s="5">
        <v>756</v>
      </c>
      <c r="D5" s="13">
        <f t="shared" si="0"/>
        <v>0.75600000000000001</v>
      </c>
      <c r="E5" s="13">
        <f t="shared" si="1"/>
        <v>1.0134048257372654</v>
      </c>
    </row>
    <row r="6" spans="1:5" x14ac:dyDescent="0.25">
      <c r="A6" s="5" t="s">
        <v>100</v>
      </c>
      <c r="B6" s="5">
        <v>1</v>
      </c>
      <c r="C6" s="5">
        <v>30</v>
      </c>
      <c r="D6" s="13">
        <f t="shared" si="0"/>
        <v>0.03</v>
      </c>
      <c r="E6" s="13">
        <f t="shared" si="1"/>
        <v>4.0214477211796246E-2</v>
      </c>
    </row>
    <row r="7" spans="1:5" x14ac:dyDescent="0.25">
      <c r="A7" s="5" t="s">
        <v>101</v>
      </c>
      <c r="B7" s="5">
        <v>1</v>
      </c>
      <c r="C7" s="5">
        <v>100</v>
      </c>
      <c r="D7" s="13">
        <f t="shared" si="0"/>
        <v>0.1</v>
      </c>
      <c r="E7" s="13">
        <f t="shared" si="1"/>
        <v>0.13404825737265416</v>
      </c>
    </row>
    <row r="8" spans="1:5" x14ac:dyDescent="0.25">
      <c r="A8" s="5" t="s">
        <v>102</v>
      </c>
      <c r="B8" s="5">
        <v>3</v>
      </c>
      <c r="C8" s="5">
        <v>200</v>
      </c>
      <c r="D8" s="13">
        <f t="shared" si="0"/>
        <v>0.6</v>
      </c>
      <c r="E8" s="13">
        <f t="shared" si="1"/>
        <v>0.80428954423592491</v>
      </c>
    </row>
    <row r="9" spans="1:5" x14ac:dyDescent="0.25">
      <c r="A9" s="5" t="s">
        <v>103</v>
      </c>
      <c r="B9" s="5">
        <v>7</v>
      </c>
      <c r="C9" s="5">
        <v>560</v>
      </c>
      <c r="D9" s="13">
        <f t="shared" si="0"/>
        <v>3.92</v>
      </c>
      <c r="E9" s="13">
        <f t="shared" si="1"/>
        <v>5.2546916890080428</v>
      </c>
    </row>
    <row r="10" spans="1:5" x14ac:dyDescent="0.25">
      <c r="A10" s="5" t="s">
        <v>104</v>
      </c>
      <c r="B10" s="5">
        <v>4</v>
      </c>
      <c r="C10" s="5">
        <v>225</v>
      </c>
      <c r="D10" s="13">
        <f t="shared" si="0"/>
        <v>0.9</v>
      </c>
      <c r="E10" s="13">
        <f t="shared" si="1"/>
        <v>1.2064343163538875</v>
      </c>
    </row>
    <row r="11" spans="1:5" x14ac:dyDescent="0.25">
      <c r="A11" s="5" t="s">
        <v>105</v>
      </c>
      <c r="B11" s="5">
        <v>200</v>
      </c>
      <c r="C11" s="5">
        <v>40</v>
      </c>
      <c r="D11" s="13">
        <f t="shared" si="0"/>
        <v>8</v>
      </c>
      <c r="E11" s="13">
        <f t="shared" si="1"/>
        <v>10.723860589812332</v>
      </c>
    </row>
    <row r="12" spans="1:5" x14ac:dyDescent="0.25">
      <c r="A12" s="5" t="s">
        <v>106</v>
      </c>
      <c r="B12" s="5">
        <v>2</v>
      </c>
      <c r="C12" s="5">
        <v>200</v>
      </c>
      <c r="D12" s="13">
        <f t="shared" si="0"/>
        <v>0.4</v>
      </c>
      <c r="E12" s="13">
        <f t="shared" si="1"/>
        <v>0.53619302949061665</v>
      </c>
    </row>
    <row r="13" spans="1:5" x14ac:dyDescent="0.25">
      <c r="A13" s="5" t="s">
        <v>107</v>
      </c>
      <c r="B13" s="5">
        <v>12</v>
      </c>
      <c r="C13" s="5">
        <v>30</v>
      </c>
      <c r="D13" s="13">
        <f t="shared" si="0"/>
        <v>0.36</v>
      </c>
      <c r="E13" s="13">
        <f t="shared" si="1"/>
        <v>0.48257372654155495</v>
      </c>
    </row>
    <row r="14" spans="1:5" x14ac:dyDescent="0.25">
      <c r="A14" s="5" t="s">
        <v>108</v>
      </c>
      <c r="B14" s="5">
        <v>1</v>
      </c>
      <c r="C14" s="5">
        <v>80</v>
      </c>
      <c r="D14" s="13">
        <f t="shared" si="0"/>
        <v>0.08</v>
      </c>
      <c r="E14" s="13">
        <f t="shared" si="1"/>
        <v>0.10723860589812333</v>
      </c>
    </row>
    <row r="15" spans="1:5" x14ac:dyDescent="0.25">
      <c r="A15" s="5" t="s">
        <v>109</v>
      </c>
      <c r="B15" s="5">
        <v>1</v>
      </c>
      <c r="C15" s="5">
        <v>200</v>
      </c>
      <c r="D15" s="13">
        <f t="shared" si="0"/>
        <v>0.2</v>
      </c>
      <c r="E15" s="13">
        <f t="shared" si="1"/>
        <v>0.26809651474530832</v>
      </c>
    </row>
    <row r="16" spans="1:5" x14ac:dyDescent="0.25">
      <c r="A16" s="5" t="s">
        <v>110</v>
      </c>
      <c r="B16" s="5">
        <v>1</v>
      </c>
      <c r="C16" s="5">
        <v>500</v>
      </c>
      <c r="D16" s="13">
        <f t="shared" si="0"/>
        <v>0.5</v>
      </c>
      <c r="E16" s="13">
        <f t="shared" si="1"/>
        <v>0.67024128686327078</v>
      </c>
    </row>
    <row r="17" spans="1:5" x14ac:dyDescent="0.25">
      <c r="A17" s="5" t="s">
        <v>111</v>
      </c>
      <c r="B17" s="5">
        <v>1</v>
      </c>
      <c r="C17" s="5">
        <v>1200</v>
      </c>
      <c r="D17" s="13">
        <f t="shared" si="0"/>
        <v>1.2</v>
      </c>
      <c r="E17" s="13">
        <f t="shared" si="1"/>
        <v>1.6085790884718498</v>
      </c>
    </row>
    <row r="18" spans="1:5" x14ac:dyDescent="0.25">
      <c r="A18" s="5" t="s">
        <v>112</v>
      </c>
      <c r="B18" s="5">
        <v>28</v>
      </c>
      <c r="C18" s="5">
        <v>25</v>
      </c>
      <c r="D18" s="13">
        <f t="shared" si="0"/>
        <v>0.7</v>
      </c>
      <c r="E18" s="13">
        <f t="shared" si="1"/>
        <v>0.93833780160857905</v>
      </c>
    </row>
    <row r="19" spans="1:5" x14ac:dyDescent="0.25">
      <c r="A19" s="5" t="s">
        <v>113</v>
      </c>
      <c r="B19" s="5">
        <v>5</v>
      </c>
      <c r="C19" s="5">
        <v>17076</v>
      </c>
      <c r="D19" s="13">
        <f t="shared" si="0"/>
        <v>85.38</v>
      </c>
      <c r="E19" s="13">
        <f t="shared" si="1"/>
        <v>114.45040214477211</v>
      </c>
    </row>
    <row r="20" spans="1:5" x14ac:dyDescent="0.25">
      <c r="A20" s="5" t="s">
        <v>114</v>
      </c>
      <c r="B20" s="5">
        <v>3</v>
      </c>
      <c r="C20" s="5">
        <v>12110</v>
      </c>
      <c r="D20" s="13">
        <f t="shared" si="0"/>
        <v>36.33</v>
      </c>
      <c r="E20" s="13">
        <f t="shared" si="1"/>
        <v>48.699731903485251</v>
      </c>
    </row>
    <row r="21" spans="1:5" x14ac:dyDescent="0.25">
      <c r="A21" s="5" t="s">
        <v>115</v>
      </c>
      <c r="B21" s="5">
        <v>2</v>
      </c>
      <c r="C21" s="5">
        <v>35</v>
      </c>
      <c r="D21" s="13">
        <f t="shared" si="0"/>
        <v>7.0000000000000007E-2</v>
      </c>
      <c r="E21" s="13">
        <f t="shared" si="1"/>
        <v>9.3833780160857916E-2</v>
      </c>
    </row>
    <row r="22" spans="1:5" x14ac:dyDescent="0.25">
      <c r="A22" s="5" t="s">
        <v>116</v>
      </c>
      <c r="B22" s="5">
        <v>19</v>
      </c>
      <c r="C22" s="5">
        <v>15</v>
      </c>
      <c r="D22" s="13">
        <f t="shared" si="0"/>
        <v>0.28499999999999998</v>
      </c>
      <c r="E22" s="13">
        <f t="shared" si="1"/>
        <v>0.38203753351206432</v>
      </c>
    </row>
    <row r="23" spans="1:5" x14ac:dyDescent="0.25">
      <c r="A23" s="5" t="s">
        <v>117</v>
      </c>
      <c r="B23" s="5">
        <v>12</v>
      </c>
      <c r="C23" s="5">
        <v>3</v>
      </c>
      <c r="D23" s="13">
        <f t="shared" si="0"/>
        <v>3.5999999999999997E-2</v>
      </c>
      <c r="E23" s="13">
        <f t="shared" si="1"/>
        <v>4.8257372654155493E-2</v>
      </c>
    </row>
    <row r="24" spans="1:5" x14ac:dyDescent="0.25">
      <c r="A24" s="5" t="s">
        <v>118</v>
      </c>
      <c r="B24" s="5">
        <v>3</v>
      </c>
      <c r="C24" s="5">
        <v>746</v>
      </c>
      <c r="D24" s="13">
        <f t="shared" si="0"/>
        <v>2.238</v>
      </c>
      <c r="E24" s="13">
        <f t="shared" si="1"/>
        <v>3</v>
      </c>
    </row>
    <row r="25" spans="1:5" x14ac:dyDescent="0.25">
      <c r="A25" s="5" t="s">
        <v>119</v>
      </c>
      <c r="B25" s="5">
        <v>3</v>
      </c>
      <c r="C25" s="5">
        <v>165</v>
      </c>
      <c r="D25" s="13">
        <f t="shared" si="0"/>
        <v>0.495</v>
      </c>
      <c r="E25" s="13">
        <f t="shared" si="1"/>
        <v>0.66353887399463807</v>
      </c>
    </row>
    <row r="26" spans="1:5" x14ac:dyDescent="0.25">
      <c r="A26" s="5" t="s">
        <v>120</v>
      </c>
      <c r="B26" s="5">
        <v>3</v>
      </c>
      <c r="C26" s="5">
        <v>65</v>
      </c>
      <c r="D26" s="13">
        <f t="shared" si="0"/>
        <v>0.19500000000000001</v>
      </c>
      <c r="E26" s="13">
        <f t="shared" si="1"/>
        <v>0.26139410187667561</v>
      </c>
    </row>
    <row r="27" spans="1:5" x14ac:dyDescent="0.25">
      <c r="A27" s="5" t="s">
        <v>121</v>
      </c>
      <c r="B27" s="5">
        <v>1</v>
      </c>
      <c r="C27" s="5">
        <v>1492</v>
      </c>
      <c r="D27" s="13">
        <f t="shared" si="0"/>
        <v>1.492</v>
      </c>
      <c r="E27" s="13">
        <f t="shared" si="1"/>
        <v>2</v>
      </c>
    </row>
    <row r="28" spans="1:5" x14ac:dyDescent="0.25">
      <c r="A28" s="5" t="s">
        <v>122</v>
      </c>
      <c r="B28" s="5">
        <v>3</v>
      </c>
      <c r="C28" s="5">
        <v>185</v>
      </c>
      <c r="D28" s="13">
        <f t="shared" si="0"/>
        <v>0.55500000000000005</v>
      </c>
      <c r="E28" s="13">
        <f t="shared" si="1"/>
        <v>0.74396782841823061</v>
      </c>
    </row>
    <row r="29" spans="1:5" x14ac:dyDescent="0.25">
      <c r="A29" s="5" t="s">
        <v>84</v>
      </c>
      <c r="B29" s="5">
        <v>4</v>
      </c>
      <c r="C29" s="5">
        <v>30</v>
      </c>
      <c r="D29" s="13">
        <f t="shared" si="0"/>
        <v>0.12</v>
      </c>
      <c r="E29" s="13">
        <f t="shared" si="1"/>
        <v>0.16085790884718498</v>
      </c>
    </row>
    <row r="30" spans="1:5" x14ac:dyDescent="0.25">
      <c r="A30" s="5" t="s">
        <v>123</v>
      </c>
      <c r="B30" s="5">
        <v>9</v>
      </c>
      <c r="C30" s="5">
        <v>3.37</v>
      </c>
      <c r="D30" s="13">
        <f t="shared" si="0"/>
        <v>3.0330000000000003E-2</v>
      </c>
      <c r="E30" s="13">
        <f t="shared" si="1"/>
        <v>4.0656836461126007E-2</v>
      </c>
    </row>
    <row r="31" spans="1:5" x14ac:dyDescent="0.25">
      <c r="A31" s="5" t="s">
        <v>124</v>
      </c>
      <c r="B31" s="5">
        <v>1</v>
      </c>
      <c r="C31" s="5">
        <v>300</v>
      </c>
      <c r="D31" s="13">
        <f t="shared" si="0"/>
        <v>0.3</v>
      </c>
      <c r="E31" s="13">
        <f t="shared" si="1"/>
        <v>0.40214477211796246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A42B9-4C3D-4A37-8B55-32D02CC04F61}">
  <dimension ref="A1:E54"/>
  <sheetViews>
    <sheetView tabSelected="1" topLeftCell="A29" workbookViewId="0">
      <selection activeCell="F47" sqref="F47"/>
    </sheetView>
  </sheetViews>
  <sheetFormatPr defaultRowHeight="15" x14ac:dyDescent="0.25"/>
  <cols>
    <col min="1" max="1" width="19.453125" style="1" bestFit="1" customWidth="1"/>
    <col min="2" max="16384" width="8.7265625" style="1"/>
  </cols>
  <sheetData>
    <row r="1" spans="1:5" x14ac:dyDescent="0.25">
      <c r="A1" s="1" t="s">
        <v>1</v>
      </c>
      <c r="B1" s="1" t="s">
        <v>2</v>
      </c>
      <c r="C1" s="1" t="s">
        <v>3</v>
      </c>
      <c r="D1" s="1" t="s">
        <v>51</v>
      </c>
      <c r="E1" s="1" t="s">
        <v>50</v>
      </c>
    </row>
    <row r="2" spans="1:5" x14ac:dyDescent="0.25">
      <c r="A2" s="1" t="s">
        <v>125</v>
      </c>
      <c r="B2" s="1">
        <v>268</v>
      </c>
      <c r="C2" s="1">
        <v>66</v>
      </c>
      <c r="D2" s="2">
        <f>(B2*C2)/1000</f>
        <v>17.687999999999999</v>
      </c>
      <c r="E2" s="2">
        <f>D2/0.746</f>
        <v>23.710455764075064</v>
      </c>
    </row>
    <row r="3" spans="1:5" x14ac:dyDescent="0.25">
      <c r="A3" s="1" t="s">
        <v>126</v>
      </c>
      <c r="B3" s="1">
        <v>2</v>
      </c>
      <c r="C3" s="1">
        <v>3600</v>
      </c>
      <c r="D3" s="2">
        <f t="shared" ref="D3:D54" si="0">(B3*C3)/1000</f>
        <v>7.2</v>
      </c>
      <c r="E3" s="2">
        <f t="shared" ref="E3:E54" si="1">D3/0.746</f>
        <v>9.6514745308311003</v>
      </c>
    </row>
    <row r="4" spans="1:5" x14ac:dyDescent="0.25">
      <c r="A4" s="1" t="s">
        <v>126</v>
      </c>
      <c r="B4" s="1">
        <v>3</v>
      </c>
      <c r="C4" s="1">
        <v>3600</v>
      </c>
      <c r="D4" s="2">
        <f t="shared" si="0"/>
        <v>10.8</v>
      </c>
      <c r="E4" s="2">
        <f t="shared" si="1"/>
        <v>14.47721179624665</v>
      </c>
    </row>
    <row r="5" spans="1:5" x14ac:dyDescent="0.25">
      <c r="A5" s="1" t="s">
        <v>126</v>
      </c>
      <c r="B5" s="1">
        <v>6</v>
      </c>
      <c r="C5" s="1">
        <v>3600</v>
      </c>
      <c r="D5" s="2">
        <f t="shared" si="0"/>
        <v>21.6</v>
      </c>
      <c r="E5" s="2">
        <f t="shared" si="1"/>
        <v>28.954423592493299</v>
      </c>
    </row>
    <row r="6" spans="1:5" x14ac:dyDescent="0.25">
      <c r="A6" s="1" t="s">
        <v>126</v>
      </c>
      <c r="B6" s="1">
        <v>2</v>
      </c>
      <c r="C6" s="1">
        <v>3600</v>
      </c>
      <c r="D6" s="2">
        <f t="shared" si="0"/>
        <v>7.2</v>
      </c>
      <c r="E6" s="2">
        <f t="shared" si="1"/>
        <v>9.6514745308311003</v>
      </c>
    </row>
    <row r="7" spans="1:5" x14ac:dyDescent="0.25">
      <c r="A7" s="1" t="s">
        <v>127</v>
      </c>
      <c r="B7" s="1">
        <v>5</v>
      </c>
      <c r="C7" s="1">
        <v>30</v>
      </c>
      <c r="D7" s="2">
        <f t="shared" si="0"/>
        <v>0.15</v>
      </c>
      <c r="E7" s="2">
        <f t="shared" si="1"/>
        <v>0.20107238605898123</v>
      </c>
    </row>
    <row r="8" spans="1:5" x14ac:dyDescent="0.25">
      <c r="A8" s="1" t="s">
        <v>128</v>
      </c>
      <c r="B8" s="1">
        <v>1</v>
      </c>
      <c r="C8" s="1">
        <v>2200</v>
      </c>
      <c r="D8" s="2">
        <f t="shared" si="0"/>
        <v>2.2000000000000002</v>
      </c>
      <c r="E8" s="2">
        <f t="shared" si="1"/>
        <v>2.9490616621983916</v>
      </c>
    </row>
    <row r="9" spans="1:5" x14ac:dyDescent="0.25">
      <c r="A9" s="1" t="s">
        <v>129</v>
      </c>
      <c r="B9" s="1">
        <v>1</v>
      </c>
      <c r="C9" s="1">
        <v>500</v>
      </c>
      <c r="D9" s="2">
        <f t="shared" si="0"/>
        <v>0.5</v>
      </c>
      <c r="E9" s="2">
        <f t="shared" si="1"/>
        <v>0.67024128686327078</v>
      </c>
    </row>
    <row r="10" spans="1:5" x14ac:dyDescent="0.25">
      <c r="A10" s="1" t="s">
        <v>130</v>
      </c>
      <c r="B10" s="1">
        <v>1</v>
      </c>
      <c r="C10" s="1">
        <v>1500</v>
      </c>
      <c r="D10" s="2">
        <f t="shared" si="0"/>
        <v>1.5</v>
      </c>
      <c r="E10" s="2">
        <f t="shared" si="1"/>
        <v>2.0107238605898123</v>
      </c>
    </row>
    <row r="11" spans="1:5" x14ac:dyDescent="0.25">
      <c r="A11" s="1" t="s">
        <v>131</v>
      </c>
      <c r="B11" s="1">
        <v>1</v>
      </c>
      <c r="C11" s="1">
        <v>1492</v>
      </c>
      <c r="D11" s="2">
        <f t="shared" si="0"/>
        <v>1.492</v>
      </c>
      <c r="E11" s="2">
        <f t="shared" si="1"/>
        <v>2</v>
      </c>
    </row>
    <row r="12" spans="1:5" x14ac:dyDescent="0.25">
      <c r="A12" s="1" t="s">
        <v>132</v>
      </c>
      <c r="B12" s="1">
        <v>1</v>
      </c>
      <c r="C12" s="1">
        <v>1000</v>
      </c>
      <c r="D12" s="2">
        <f t="shared" si="0"/>
        <v>1</v>
      </c>
      <c r="E12" s="2">
        <f t="shared" si="1"/>
        <v>1.3404825737265416</v>
      </c>
    </row>
    <row r="13" spans="1:5" x14ac:dyDescent="0.25">
      <c r="A13" s="1" t="s">
        <v>133</v>
      </c>
      <c r="B13" s="1">
        <v>28</v>
      </c>
      <c r="C13" s="1">
        <v>90</v>
      </c>
      <c r="D13" s="2">
        <f t="shared" si="0"/>
        <v>2.52</v>
      </c>
      <c r="E13" s="2">
        <f t="shared" si="1"/>
        <v>3.3780160857908847</v>
      </c>
    </row>
    <row r="14" spans="1:5" x14ac:dyDescent="0.25">
      <c r="A14" s="1" t="s">
        <v>134</v>
      </c>
      <c r="B14" s="1">
        <v>2</v>
      </c>
      <c r="C14" s="1">
        <v>75</v>
      </c>
      <c r="D14" s="2">
        <f t="shared" si="0"/>
        <v>0.15</v>
      </c>
      <c r="E14" s="2">
        <f t="shared" si="1"/>
        <v>0.20107238605898123</v>
      </c>
    </row>
    <row r="15" spans="1:5" x14ac:dyDescent="0.25">
      <c r="A15" s="1" t="s">
        <v>135</v>
      </c>
      <c r="B15" s="1">
        <v>5</v>
      </c>
      <c r="C15" s="1">
        <v>2200</v>
      </c>
      <c r="D15" s="2">
        <f t="shared" si="0"/>
        <v>11</v>
      </c>
      <c r="E15" s="2">
        <f t="shared" si="1"/>
        <v>14.745308310991957</v>
      </c>
    </row>
    <row r="16" spans="1:5" x14ac:dyDescent="0.25">
      <c r="A16" s="1" t="s">
        <v>136</v>
      </c>
      <c r="B16" s="1">
        <v>3</v>
      </c>
      <c r="C16" s="1">
        <v>746</v>
      </c>
      <c r="D16" s="2">
        <f t="shared" si="0"/>
        <v>2.238</v>
      </c>
      <c r="E16" s="2">
        <f t="shared" si="1"/>
        <v>3</v>
      </c>
    </row>
    <row r="17" spans="1:5" x14ac:dyDescent="0.25">
      <c r="A17" s="1" t="s">
        <v>137</v>
      </c>
      <c r="B17" s="1">
        <v>1</v>
      </c>
      <c r="C17" s="1">
        <v>1500</v>
      </c>
      <c r="D17" s="2">
        <f t="shared" si="0"/>
        <v>1.5</v>
      </c>
      <c r="E17" s="2">
        <f t="shared" si="1"/>
        <v>2.0107238605898123</v>
      </c>
    </row>
    <row r="18" spans="1:5" x14ac:dyDescent="0.25">
      <c r="A18" s="1" t="s">
        <v>138</v>
      </c>
      <c r="B18" s="1">
        <v>2</v>
      </c>
      <c r="C18" s="1">
        <v>1000</v>
      </c>
      <c r="D18" s="2">
        <f t="shared" si="0"/>
        <v>2</v>
      </c>
      <c r="E18" s="2">
        <f t="shared" si="1"/>
        <v>2.6809651474530831</v>
      </c>
    </row>
    <row r="19" spans="1:5" x14ac:dyDescent="0.25">
      <c r="A19" s="1" t="s">
        <v>139</v>
      </c>
      <c r="B19" s="1">
        <v>1</v>
      </c>
      <c r="C19" s="1">
        <v>2200</v>
      </c>
      <c r="D19" s="2">
        <f t="shared" si="0"/>
        <v>2.2000000000000002</v>
      </c>
      <c r="E19" s="2">
        <f t="shared" si="1"/>
        <v>2.9490616621983916</v>
      </c>
    </row>
    <row r="20" spans="1:5" x14ac:dyDescent="0.25">
      <c r="A20" s="1" t="s">
        <v>140</v>
      </c>
      <c r="B20" s="1">
        <v>1</v>
      </c>
      <c r="C20" s="1">
        <v>250</v>
      </c>
      <c r="D20" s="2">
        <f t="shared" si="0"/>
        <v>0.25</v>
      </c>
      <c r="E20" s="2">
        <f t="shared" si="1"/>
        <v>0.33512064343163539</v>
      </c>
    </row>
    <row r="21" spans="1:5" x14ac:dyDescent="0.25">
      <c r="A21" s="1" t="s">
        <v>141</v>
      </c>
      <c r="B21" s="1">
        <v>2</v>
      </c>
      <c r="C21" s="1">
        <v>1000</v>
      </c>
      <c r="D21" s="2">
        <f t="shared" si="0"/>
        <v>2</v>
      </c>
      <c r="E21" s="2">
        <f t="shared" si="1"/>
        <v>2.6809651474530831</v>
      </c>
    </row>
    <row r="22" spans="1:5" x14ac:dyDescent="0.25">
      <c r="A22" s="1" t="s">
        <v>142</v>
      </c>
      <c r="B22" s="1">
        <v>1</v>
      </c>
      <c r="C22" s="1">
        <v>5595</v>
      </c>
      <c r="D22" s="2">
        <f t="shared" si="0"/>
        <v>5.5949999999999998</v>
      </c>
      <c r="E22" s="2">
        <f t="shared" si="1"/>
        <v>7.5</v>
      </c>
    </row>
    <row r="23" spans="1:5" x14ac:dyDescent="0.25">
      <c r="A23" s="1" t="s">
        <v>142</v>
      </c>
      <c r="B23" s="1">
        <v>2</v>
      </c>
      <c r="C23" s="1">
        <v>5595</v>
      </c>
      <c r="D23" s="2">
        <f t="shared" si="0"/>
        <v>11.19</v>
      </c>
      <c r="E23" s="2">
        <f t="shared" si="1"/>
        <v>15</v>
      </c>
    </row>
    <row r="24" spans="1:5" x14ac:dyDescent="0.25">
      <c r="A24" s="1" t="s">
        <v>143</v>
      </c>
      <c r="B24" s="1">
        <v>1</v>
      </c>
      <c r="C24" s="1">
        <v>1500</v>
      </c>
      <c r="D24" s="2">
        <f t="shared" si="0"/>
        <v>1.5</v>
      </c>
      <c r="E24" s="2">
        <f t="shared" si="1"/>
        <v>2.0107238605898123</v>
      </c>
    </row>
    <row r="25" spans="1:5" x14ac:dyDescent="0.25">
      <c r="A25" s="1" t="s">
        <v>144</v>
      </c>
      <c r="B25" s="1">
        <v>1</v>
      </c>
      <c r="C25" s="1">
        <v>1500</v>
      </c>
      <c r="D25" s="2">
        <f t="shared" si="0"/>
        <v>1.5</v>
      </c>
      <c r="E25" s="2">
        <f t="shared" si="1"/>
        <v>2.0107238605898123</v>
      </c>
    </row>
    <row r="26" spans="1:5" x14ac:dyDescent="0.25">
      <c r="A26" s="1" t="s">
        <v>145</v>
      </c>
      <c r="B26" s="1">
        <v>1</v>
      </c>
      <c r="C26" s="1">
        <v>30</v>
      </c>
      <c r="D26" s="2">
        <f t="shared" si="0"/>
        <v>0.03</v>
      </c>
      <c r="E26" s="2">
        <f t="shared" si="1"/>
        <v>4.0214477211796246E-2</v>
      </c>
    </row>
    <row r="27" spans="1:5" x14ac:dyDescent="0.25">
      <c r="A27" s="1" t="s">
        <v>146</v>
      </c>
      <c r="B27" s="1">
        <v>4</v>
      </c>
      <c r="C27" s="1">
        <v>120</v>
      </c>
      <c r="D27" s="2">
        <f t="shared" si="0"/>
        <v>0.48</v>
      </c>
      <c r="E27" s="2">
        <f t="shared" si="1"/>
        <v>0.64343163538873993</v>
      </c>
    </row>
    <row r="28" spans="1:5" x14ac:dyDescent="0.25">
      <c r="A28" s="1" t="s">
        <v>147</v>
      </c>
      <c r="B28" s="1">
        <v>1</v>
      </c>
      <c r="C28" s="1">
        <v>25</v>
      </c>
      <c r="D28" s="2">
        <f t="shared" si="0"/>
        <v>2.5000000000000001E-2</v>
      </c>
      <c r="E28" s="2">
        <f t="shared" si="1"/>
        <v>3.351206434316354E-2</v>
      </c>
    </row>
    <row r="29" spans="1:5" x14ac:dyDescent="0.25">
      <c r="A29" s="1" t="s">
        <v>102</v>
      </c>
      <c r="B29" s="1">
        <v>3</v>
      </c>
      <c r="C29" s="1">
        <v>275</v>
      </c>
      <c r="D29" s="2">
        <f t="shared" si="0"/>
        <v>0.82499999999999996</v>
      </c>
      <c r="E29" s="2">
        <f t="shared" si="1"/>
        <v>1.1058981233243967</v>
      </c>
    </row>
    <row r="30" spans="1:5" x14ac:dyDescent="0.25">
      <c r="A30" s="1" t="s">
        <v>148</v>
      </c>
      <c r="B30" s="1">
        <v>1</v>
      </c>
      <c r="C30" s="1">
        <v>5595</v>
      </c>
      <c r="D30" s="2">
        <f t="shared" si="0"/>
        <v>5.5949999999999998</v>
      </c>
      <c r="E30" s="2">
        <f t="shared" si="1"/>
        <v>7.5</v>
      </c>
    </row>
    <row r="31" spans="1:5" x14ac:dyDescent="0.25">
      <c r="A31" s="1" t="s">
        <v>149</v>
      </c>
      <c r="B31" s="1">
        <v>22</v>
      </c>
      <c r="C31" s="1">
        <v>2237</v>
      </c>
      <c r="D31" s="2">
        <f t="shared" si="0"/>
        <v>49.213999999999999</v>
      </c>
      <c r="E31" s="2">
        <f t="shared" si="1"/>
        <v>65.970509383378015</v>
      </c>
    </row>
    <row r="32" spans="1:5" x14ac:dyDescent="0.25">
      <c r="A32" s="1" t="s">
        <v>150</v>
      </c>
      <c r="B32" s="1">
        <v>4</v>
      </c>
      <c r="C32" s="1">
        <v>746</v>
      </c>
      <c r="D32" s="2">
        <f t="shared" si="0"/>
        <v>2.984</v>
      </c>
      <c r="E32" s="2">
        <f t="shared" si="1"/>
        <v>4</v>
      </c>
    </row>
    <row r="33" spans="1:5" x14ac:dyDescent="0.25">
      <c r="A33" s="1" t="s">
        <v>151</v>
      </c>
      <c r="B33" s="1">
        <v>4</v>
      </c>
      <c r="C33" s="1">
        <v>746</v>
      </c>
      <c r="D33" s="2">
        <f t="shared" si="0"/>
        <v>2.984</v>
      </c>
      <c r="E33" s="2">
        <f t="shared" si="1"/>
        <v>4</v>
      </c>
    </row>
    <row r="34" spans="1:5" x14ac:dyDescent="0.25">
      <c r="A34" s="1" t="s">
        <v>152</v>
      </c>
      <c r="B34" s="1">
        <v>1</v>
      </c>
      <c r="C34" s="1">
        <v>250</v>
      </c>
      <c r="D34" s="2">
        <f t="shared" si="0"/>
        <v>0.25</v>
      </c>
      <c r="E34" s="2">
        <f t="shared" si="1"/>
        <v>0.33512064343163539</v>
      </c>
    </row>
    <row r="35" spans="1:5" x14ac:dyDescent="0.25">
      <c r="A35" s="1" t="s">
        <v>153</v>
      </c>
      <c r="B35" s="1">
        <v>32</v>
      </c>
      <c r="C35" s="1">
        <v>8</v>
      </c>
      <c r="D35" s="2">
        <f t="shared" si="0"/>
        <v>0.25600000000000001</v>
      </c>
      <c r="E35" s="2">
        <f t="shared" si="1"/>
        <v>0.34316353887399464</v>
      </c>
    </row>
    <row r="36" spans="1:5" x14ac:dyDescent="0.25">
      <c r="A36" s="1" t="s">
        <v>154</v>
      </c>
      <c r="B36" s="1">
        <v>1</v>
      </c>
      <c r="C36" s="1">
        <v>1850</v>
      </c>
      <c r="D36" s="2">
        <f t="shared" si="0"/>
        <v>1.85</v>
      </c>
      <c r="E36" s="2">
        <f t="shared" si="1"/>
        <v>2.479892761394102</v>
      </c>
    </row>
    <row r="37" spans="1:5" x14ac:dyDescent="0.25">
      <c r="A37" s="1" t="s">
        <v>155</v>
      </c>
      <c r="B37" s="1">
        <v>2</v>
      </c>
      <c r="C37" s="1">
        <v>500</v>
      </c>
      <c r="D37" s="2">
        <f t="shared" si="0"/>
        <v>1</v>
      </c>
      <c r="E37" s="2">
        <f t="shared" si="1"/>
        <v>1.3404825737265416</v>
      </c>
    </row>
    <row r="38" spans="1:5" x14ac:dyDescent="0.25">
      <c r="A38" s="1" t="s">
        <v>156</v>
      </c>
      <c r="B38" s="1">
        <v>1</v>
      </c>
      <c r="C38" s="1">
        <v>300</v>
      </c>
      <c r="D38" s="2">
        <f t="shared" si="0"/>
        <v>0.3</v>
      </c>
      <c r="E38" s="2">
        <f t="shared" si="1"/>
        <v>0.40214477211796246</v>
      </c>
    </row>
    <row r="39" spans="1:5" x14ac:dyDescent="0.25">
      <c r="A39" s="1" t="s">
        <v>157</v>
      </c>
      <c r="B39" s="1">
        <v>1</v>
      </c>
      <c r="C39" s="1">
        <v>1500</v>
      </c>
      <c r="D39" s="2">
        <f t="shared" si="0"/>
        <v>1.5</v>
      </c>
      <c r="E39" s="2">
        <f t="shared" si="1"/>
        <v>2.0107238605898123</v>
      </c>
    </row>
    <row r="40" spans="1:5" x14ac:dyDescent="0.25">
      <c r="A40" s="1" t="s">
        <v>158</v>
      </c>
      <c r="B40" s="1">
        <v>7</v>
      </c>
      <c r="C40" s="1">
        <v>50</v>
      </c>
      <c r="D40" s="2">
        <f t="shared" si="0"/>
        <v>0.35</v>
      </c>
      <c r="E40" s="2">
        <f t="shared" si="1"/>
        <v>0.46916890080428952</v>
      </c>
    </row>
    <row r="41" spans="1:5" x14ac:dyDescent="0.25">
      <c r="A41" s="1" t="s">
        <v>159</v>
      </c>
      <c r="B41" s="1">
        <v>46</v>
      </c>
      <c r="C41" s="1">
        <v>10</v>
      </c>
      <c r="D41" s="2">
        <f t="shared" si="0"/>
        <v>0.46</v>
      </c>
      <c r="E41" s="2">
        <f t="shared" si="1"/>
        <v>0.61662198391420919</v>
      </c>
    </row>
    <row r="42" spans="1:5" x14ac:dyDescent="0.25">
      <c r="A42" s="1" t="s">
        <v>160</v>
      </c>
      <c r="B42" s="1">
        <v>1</v>
      </c>
      <c r="C42" s="1">
        <v>50</v>
      </c>
      <c r="D42" s="2">
        <f t="shared" si="0"/>
        <v>0.05</v>
      </c>
      <c r="E42" s="2">
        <f t="shared" si="1"/>
        <v>6.7024128686327081E-2</v>
      </c>
    </row>
    <row r="43" spans="1:5" x14ac:dyDescent="0.25">
      <c r="A43" s="1" t="s">
        <v>161</v>
      </c>
      <c r="B43" s="1">
        <v>1</v>
      </c>
      <c r="C43" s="1">
        <v>400</v>
      </c>
      <c r="D43" s="2">
        <f t="shared" si="0"/>
        <v>0.4</v>
      </c>
      <c r="E43" s="2">
        <f t="shared" si="1"/>
        <v>0.53619302949061665</v>
      </c>
    </row>
    <row r="44" spans="1:5" x14ac:dyDescent="0.25">
      <c r="A44" s="1" t="s">
        <v>162</v>
      </c>
      <c r="B44" s="1">
        <v>1</v>
      </c>
      <c r="C44" s="1">
        <v>5</v>
      </c>
      <c r="D44" s="2">
        <f t="shared" si="0"/>
        <v>5.0000000000000001E-3</v>
      </c>
      <c r="E44" s="2">
        <f t="shared" si="1"/>
        <v>6.7024128686327079E-3</v>
      </c>
    </row>
    <row r="45" spans="1:5" x14ac:dyDescent="0.25">
      <c r="A45" s="1" t="s">
        <v>163</v>
      </c>
      <c r="B45" s="1">
        <v>3</v>
      </c>
      <c r="C45" s="1">
        <v>9</v>
      </c>
      <c r="D45" s="2">
        <f t="shared" si="0"/>
        <v>2.7E-2</v>
      </c>
      <c r="E45" s="2">
        <f t="shared" si="1"/>
        <v>3.6193029490616618E-2</v>
      </c>
    </row>
    <row r="46" spans="1:5" x14ac:dyDescent="0.25">
      <c r="A46" s="1" t="s">
        <v>164</v>
      </c>
      <c r="B46" s="1">
        <v>4</v>
      </c>
      <c r="C46" s="1">
        <v>30</v>
      </c>
      <c r="D46" s="2">
        <f t="shared" si="0"/>
        <v>0.12</v>
      </c>
      <c r="E46" s="2">
        <f t="shared" si="1"/>
        <v>0.16085790884718498</v>
      </c>
    </row>
    <row r="47" spans="1:5" x14ac:dyDescent="0.25">
      <c r="A47" s="1" t="s">
        <v>165</v>
      </c>
      <c r="B47" s="1">
        <v>1</v>
      </c>
      <c r="C47" s="1">
        <v>250</v>
      </c>
      <c r="D47" s="2">
        <f t="shared" si="0"/>
        <v>0.25</v>
      </c>
      <c r="E47" s="2">
        <f t="shared" si="1"/>
        <v>0.33512064343163539</v>
      </c>
    </row>
    <row r="48" spans="1:5" x14ac:dyDescent="0.25">
      <c r="A48" s="1" t="s">
        <v>166</v>
      </c>
      <c r="B48" s="1">
        <v>1</v>
      </c>
      <c r="C48" s="1">
        <v>2000</v>
      </c>
      <c r="D48" s="2">
        <f t="shared" si="0"/>
        <v>2</v>
      </c>
      <c r="E48" s="2">
        <f t="shared" si="1"/>
        <v>2.6809651474530831</v>
      </c>
    </row>
    <row r="49" spans="1:5" x14ac:dyDescent="0.25">
      <c r="A49" s="1" t="s">
        <v>167</v>
      </c>
      <c r="B49" s="1">
        <v>1</v>
      </c>
      <c r="C49" s="1">
        <v>250</v>
      </c>
      <c r="D49" s="2">
        <f t="shared" si="0"/>
        <v>0.25</v>
      </c>
      <c r="E49" s="2">
        <f t="shared" si="1"/>
        <v>0.33512064343163539</v>
      </c>
    </row>
    <row r="50" spans="1:5" x14ac:dyDescent="0.25">
      <c r="A50" s="1" t="s">
        <v>168</v>
      </c>
      <c r="B50" s="1">
        <v>1</v>
      </c>
      <c r="C50" s="1">
        <v>1500</v>
      </c>
      <c r="D50" s="2">
        <f t="shared" si="0"/>
        <v>1.5</v>
      </c>
      <c r="E50" s="2">
        <f t="shared" si="1"/>
        <v>2.0107238605898123</v>
      </c>
    </row>
    <row r="51" spans="1:5" x14ac:dyDescent="0.25">
      <c r="A51" s="1" t="s">
        <v>169</v>
      </c>
      <c r="B51" s="1">
        <v>5</v>
      </c>
      <c r="C51" s="1">
        <v>1100</v>
      </c>
      <c r="D51" s="2">
        <f t="shared" si="0"/>
        <v>5.5</v>
      </c>
      <c r="E51" s="2">
        <f t="shared" si="1"/>
        <v>7.3726541554959786</v>
      </c>
    </row>
    <row r="52" spans="1:5" x14ac:dyDescent="0.25">
      <c r="A52" s="1" t="s">
        <v>170</v>
      </c>
      <c r="B52" s="1">
        <v>4</v>
      </c>
      <c r="C52" s="1">
        <v>1200</v>
      </c>
      <c r="D52" s="2">
        <f t="shared" si="0"/>
        <v>4.8</v>
      </c>
      <c r="E52" s="2">
        <f t="shared" si="1"/>
        <v>6.4343163538873993</v>
      </c>
    </row>
    <row r="53" spans="1:5" x14ac:dyDescent="0.25">
      <c r="A53" s="1" t="s">
        <v>171</v>
      </c>
      <c r="B53" s="1">
        <v>2</v>
      </c>
      <c r="C53" s="1">
        <v>1800</v>
      </c>
      <c r="D53" s="2">
        <f t="shared" si="0"/>
        <v>3.6</v>
      </c>
      <c r="E53" s="2">
        <f t="shared" si="1"/>
        <v>4.8257372654155501</v>
      </c>
    </row>
    <row r="54" spans="1:5" x14ac:dyDescent="0.25">
      <c r="A54" s="1" t="s">
        <v>172</v>
      </c>
      <c r="B54" s="1">
        <v>6</v>
      </c>
      <c r="C54" s="1">
        <v>900</v>
      </c>
      <c r="D54" s="2">
        <f t="shared" si="0"/>
        <v>5.4</v>
      </c>
      <c r="E54" s="2">
        <f t="shared" si="1"/>
        <v>7.2386058981233248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عبد الله الشايب</vt:lpstr>
      <vt:lpstr> محمد سلامة-عروستي</vt:lpstr>
      <vt:lpstr>مروة-عروستي</vt:lpstr>
      <vt:lpstr>Loads-1</vt:lpstr>
      <vt:lpstr>محمد السيد</vt:lpstr>
      <vt:lpstr>47631100لحوم قناة السويس</vt:lpstr>
      <vt:lpstr>فارما بوكس</vt:lpstr>
      <vt:lpstr>حلواني لينزا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amir el seyoufi</cp:lastModifiedBy>
  <dcterms:modified xsi:type="dcterms:W3CDTF">2026-10-07T17:38:58Z</dcterms:modified>
</cp:coreProperties>
</file>