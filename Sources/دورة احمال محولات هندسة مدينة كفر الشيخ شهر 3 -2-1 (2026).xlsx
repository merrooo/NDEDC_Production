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5" rupBuild="14420"/>
  <workbookPr codeName="ThisWorkbook" defaultThemeVersion="153222"/>
  <mc:AlternateContent xmlns:mc="http://schemas.openxmlformats.org/markup-compatibility/2006">
    <mc:Choice Requires="x15">
      <x15ac:absPath xmlns:x15ac="http://schemas.microsoft.com/office/spreadsheetml/2010/11/ac" url="C:\Users\Pc\Downloads\"/>
    </mc:Choice>
  </mc:AlternateContent>
  <bookViews>
    <workbookView xWindow="0" yWindow="450" windowWidth="20400" windowHeight="7740"/>
  </bookViews>
  <sheets>
    <sheet name="مدينة كفر الشيخ" sheetId="1" r:id="rId1"/>
    <sheet name="بيان سعة المحولات " sheetId="2" r:id="rId2"/>
    <sheet name="ورقة1" sheetId="3" r:id="rId3"/>
  </sheets>
  <definedNames>
    <definedName name="_xlnm._FilterDatabase" localSheetId="0" hidden="1">'مدينة كفر الشيخ'!$A$1:$Y$518</definedName>
  </definedNames>
  <calcPr calcId="162913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T61" i="3" l="1"/>
  <c r="S61" i="3"/>
  <c r="R61" i="3"/>
  <c r="N61" i="3"/>
  <c r="T60" i="3"/>
  <c r="S60" i="3"/>
  <c r="R60" i="3"/>
  <c r="N60" i="3"/>
  <c r="T59" i="3"/>
  <c r="S59" i="3"/>
  <c r="R59" i="3"/>
  <c r="N59" i="3"/>
  <c r="T58" i="3"/>
  <c r="S58" i="3"/>
  <c r="R58" i="3"/>
  <c r="N58" i="3"/>
  <c r="T57" i="3"/>
  <c r="S57" i="3"/>
  <c r="R57" i="3"/>
  <c r="N57" i="3"/>
  <c r="T56" i="3"/>
  <c r="S56" i="3"/>
  <c r="R56" i="3"/>
  <c r="N56" i="3"/>
  <c r="T55" i="3"/>
  <c r="S55" i="3"/>
  <c r="R55" i="3"/>
  <c r="N55" i="3"/>
  <c r="T54" i="3"/>
  <c r="S54" i="3"/>
  <c r="R54" i="3"/>
  <c r="N54" i="3"/>
  <c r="T53" i="3"/>
  <c r="S53" i="3"/>
  <c r="R53" i="3"/>
  <c r="N53" i="3"/>
  <c r="T52" i="3"/>
  <c r="S52" i="3"/>
  <c r="R52" i="3"/>
  <c r="N52" i="3"/>
  <c r="T51" i="3"/>
  <c r="S51" i="3"/>
  <c r="R51" i="3"/>
  <c r="N51" i="3"/>
  <c r="T50" i="3"/>
  <c r="S50" i="3"/>
  <c r="R50" i="3"/>
  <c r="N50" i="3"/>
  <c r="T49" i="3"/>
  <c r="S49" i="3"/>
  <c r="R49" i="3"/>
  <c r="N49" i="3"/>
  <c r="T48" i="3"/>
  <c r="S48" i="3"/>
  <c r="R48" i="3"/>
  <c r="N48" i="3"/>
  <c r="T47" i="3"/>
  <c r="S47" i="3"/>
  <c r="R47" i="3"/>
  <c r="N47" i="3"/>
  <c r="T46" i="3"/>
  <c r="S46" i="3"/>
  <c r="R46" i="3"/>
  <c r="N46" i="3"/>
  <c r="T45" i="3"/>
  <c r="S45" i="3"/>
  <c r="R45" i="3"/>
  <c r="N45" i="3"/>
  <c r="T44" i="3"/>
  <c r="S44" i="3"/>
  <c r="R44" i="3"/>
  <c r="N44" i="3"/>
  <c r="T43" i="3"/>
  <c r="S43" i="3"/>
  <c r="R43" i="3"/>
  <c r="N43" i="3"/>
  <c r="T42" i="3"/>
  <c r="S42" i="3"/>
  <c r="R42" i="3"/>
  <c r="N42" i="3"/>
  <c r="T41" i="3"/>
  <c r="S41" i="3"/>
  <c r="R41" i="3"/>
  <c r="N41" i="3"/>
  <c r="T40" i="3"/>
  <c r="S40" i="3"/>
  <c r="R40" i="3"/>
  <c r="N40" i="3"/>
  <c r="T39" i="3"/>
  <c r="S39" i="3"/>
  <c r="R39" i="3"/>
  <c r="N39" i="3"/>
  <c r="T38" i="3"/>
  <c r="S38" i="3"/>
  <c r="R38" i="3"/>
  <c r="N38" i="3"/>
  <c r="T37" i="3"/>
  <c r="S37" i="3"/>
  <c r="R37" i="3"/>
  <c r="N37" i="3"/>
  <c r="T36" i="3"/>
  <c r="S36" i="3"/>
  <c r="R36" i="3"/>
  <c r="N36" i="3"/>
  <c r="T35" i="3"/>
  <c r="S35" i="3"/>
  <c r="R35" i="3"/>
  <c r="N35" i="3"/>
  <c r="T34" i="3"/>
  <c r="S34" i="3"/>
  <c r="R34" i="3"/>
  <c r="N34" i="3"/>
  <c r="T33" i="3"/>
  <c r="S33" i="3"/>
  <c r="R33" i="3"/>
  <c r="N33" i="3"/>
  <c r="T32" i="3"/>
  <c r="S32" i="3"/>
  <c r="R32" i="3"/>
  <c r="N32" i="3"/>
  <c r="T31" i="3"/>
  <c r="S31" i="3"/>
  <c r="R31" i="3"/>
  <c r="N31" i="3"/>
  <c r="T30" i="3"/>
  <c r="S30" i="3"/>
  <c r="R30" i="3"/>
  <c r="N30" i="3"/>
  <c r="T29" i="3"/>
  <c r="S29" i="3"/>
  <c r="R29" i="3"/>
  <c r="N29" i="3"/>
  <c r="T28" i="3"/>
  <c r="S28" i="3"/>
  <c r="R28" i="3"/>
  <c r="N28" i="3"/>
  <c r="T27" i="3"/>
  <c r="S27" i="3"/>
  <c r="R27" i="3"/>
  <c r="N27" i="3"/>
  <c r="T22" i="3"/>
  <c r="S22" i="3"/>
  <c r="R22" i="3"/>
  <c r="N22" i="3"/>
  <c r="T21" i="3"/>
  <c r="S21" i="3"/>
  <c r="R21" i="3"/>
  <c r="N21" i="3"/>
  <c r="T20" i="3"/>
  <c r="S20" i="3"/>
  <c r="R20" i="3"/>
  <c r="N20" i="3"/>
  <c r="T19" i="3"/>
  <c r="S19" i="3"/>
  <c r="R19" i="3"/>
  <c r="N19" i="3"/>
  <c r="T18" i="3"/>
  <c r="S18" i="3"/>
  <c r="R18" i="3"/>
  <c r="N18" i="3"/>
  <c r="T17" i="3"/>
  <c r="S17" i="3"/>
  <c r="R17" i="3"/>
  <c r="N17" i="3"/>
  <c r="T16" i="3"/>
  <c r="S16" i="3"/>
  <c r="R16" i="3"/>
  <c r="N16" i="3"/>
  <c r="T15" i="3"/>
  <c r="S15" i="3"/>
  <c r="R15" i="3"/>
  <c r="N15" i="3"/>
  <c r="T14" i="3"/>
  <c r="S14" i="3"/>
  <c r="R14" i="3"/>
  <c r="N14" i="3"/>
  <c r="T13" i="3"/>
  <c r="S13" i="3"/>
  <c r="R13" i="3"/>
  <c r="N13" i="3"/>
  <c r="T12" i="3"/>
  <c r="S12" i="3"/>
  <c r="R12" i="3"/>
  <c r="N12" i="3"/>
  <c r="T11" i="3"/>
  <c r="S11" i="3"/>
  <c r="R11" i="3"/>
  <c r="N11" i="3"/>
  <c r="T10" i="3"/>
  <c r="S10" i="3"/>
  <c r="R10" i="3"/>
  <c r="N10" i="3"/>
  <c r="T9" i="3"/>
  <c r="S9" i="3"/>
  <c r="R9" i="3"/>
  <c r="N9" i="3"/>
  <c r="T8" i="3"/>
  <c r="S8" i="3"/>
  <c r="R8" i="3"/>
  <c r="N8" i="3"/>
  <c r="T7" i="3"/>
  <c r="S7" i="3"/>
  <c r="R7" i="3"/>
  <c r="N7" i="3"/>
  <c r="O164" i="1"/>
  <c r="T129" i="1"/>
  <c r="T130" i="1"/>
  <c r="S129" i="1"/>
  <c r="S130" i="1"/>
  <c r="O129" i="1"/>
  <c r="O130" i="1"/>
  <c r="U248" i="1"/>
  <c r="U249" i="1"/>
  <c r="U250" i="1"/>
  <c r="U251" i="1"/>
  <c r="U252" i="1"/>
  <c r="T248" i="1"/>
  <c r="T249" i="1"/>
  <c r="T250" i="1"/>
  <c r="T251" i="1"/>
  <c r="T252" i="1"/>
  <c r="S248" i="1"/>
  <c r="S249" i="1"/>
  <c r="S250" i="1"/>
  <c r="S251" i="1"/>
  <c r="S252" i="1"/>
  <c r="O248" i="1"/>
  <c r="O249" i="1"/>
  <c r="O250" i="1"/>
  <c r="O251" i="1"/>
  <c r="O252" i="1"/>
  <c r="T476" i="1"/>
  <c r="T477" i="1"/>
  <c r="T478" i="1"/>
  <c r="T479" i="1"/>
  <c r="T480" i="1"/>
  <c r="T481" i="1"/>
  <c r="T482" i="1"/>
  <c r="T483" i="1"/>
  <c r="T484" i="1"/>
  <c r="T485" i="1"/>
  <c r="T486" i="1"/>
  <c r="T487" i="1"/>
  <c r="T488" i="1"/>
  <c r="T489" i="1"/>
  <c r="T490" i="1"/>
  <c r="T491" i="1"/>
  <c r="T492" i="1"/>
  <c r="T493" i="1"/>
  <c r="T494" i="1"/>
  <c r="T495" i="1"/>
  <c r="T496" i="1"/>
  <c r="T497" i="1"/>
  <c r="T498" i="1"/>
  <c r="T499" i="1"/>
  <c r="T500" i="1"/>
  <c r="T501" i="1"/>
  <c r="T502" i="1"/>
  <c r="T503" i="1"/>
  <c r="T504" i="1"/>
  <c r="T505" i="1"/>
  <c r="T506" i="1"/>
  <c r="T507" i="1"/>
  <c r="T508" i="1"/>
  <c r="T509" i="1"/>
  <c r="T510" i="1"/>
  <c r="T475" i="1"/>
  <c r="O474" i="1"/>
  <c r="O475" i="1"/>
  <c r="O476" i="1"/>
  <c r="O477" i="1"/>
  <c r="O478" i="1"/>
  <c r="O479" i="1"/>
  <c r="O480" i="1"/>
  <c r="O481" i="1"/>
  <c r="O482" i="1"/>
  <c r="O483" i="1"/>
  <c r="O484" i="1"/>
  <c r="O485" i="1"/>
  <c r="O486" i="1"/>
  <c r="O487" i="1"/>
  <c r="O488" i="1"/>
  <c r="O489" i="1"/>
  <c r="O490" i="1"/>
  <c r="O491" i="1"/>
  <c r="O492" i="1"/>
  <c r="O493" i="1"/>
  <c r="O494" i="1"/>
  <c r="O495" i="1"/>
  <c r="O496" i="1"/>
  <c r="O497" i="1"/>
  <c r="O498" i="1"/>
  <c r="O499" i="1"/>
  <c r="O500" i="1"/>
  <c r="O501" i="1"/>
  <c r="O502" i="1"/>
  <c r="O503" i="1"/>
  <c r="O504" i="1"/>
  <c r="O505" i="1"/>
  <c r="O506" i="1"/>
  <c r="O507" i="1"/>
  <c r="O508" i="1"/>
  <c r="O509" i="1"/>
  <c r="O510" i="1"/>
  <c r="S6" i="1"/>
  <c r="U6" i="1"/>
  <c r="T6" i="1"/>
  <c r="O6" i="1"/>
  <c r="U164" i="1"/>
  <c r="T164" i="1"/>
  <c r="S164" i="1"/>
  <c r="O338" i="1" l="1"/>
  <c r="O337" i="1"/>
  <c r="U338" i="1"/>
  <c r="U337" i="1"/>
  <c r="T338" i="1"/>
  <c r="T337" i="1"/>
  <c r="S338" i="1"/>
  <c r="S337" i="1"/>
  <c r="O376" i="1" l="1"/>
  <c r="O377" i="1"/>
  <c r="O378" i="1"/>
  <c r="O379" i="1"/>
  <c r="O380" i="1"/>
  <c r="O381" i="1"/>
  <c r="O382" i="1"/>
  <c r="O383" i="1"/>
  <c r="O384" i="1"/>
  <c r="O385" i="1"/>
  <c r="O386" i="1"/>
  <c r="O387" i="1"/>
  <c r="O388" i="1"/>
  <c r="O389" i="1"/>
  <c r="O390" i="1"/>
  <c r="O391" i="1"/>
  <c r="O392" i="1"/>
  <c r="O393" i="1"/>
  <c r="O394" i="1"/>
  <c r="O395" i="1"/>
  <c r="O396" i="1"/>
  <c r="O397" i="1"/>
  <c r="O398" i="1"/>
  <c r="O399" i="1"/>
  <c r="O400" i="1"/>
  <c r="O401" i="1"/>
  <c r="O402" i="1"/>
  <c r="O403" i="1"/>
  <c r="O404" i="1"/>
  <c r="O405" i="1"/>
  <c r="O406" i="1"/>
  <c r="O407" i="1"/>
  <c r="O408" i="1"/>
  <c r="O409" i="1"/>
  <c r="O410" i="1"/>
  <c r="O411" i="1"/>
  <c r="O412" i="1"/>
  <c r="O413" i="1"/>
  <c r="O414" i="1"/>
  <c r="O415" i="1"/>
  <c r="O416" i="1"/>
  <c r="O417" i="1"/>
  <c r="O418" i="1"/>
  <c r="O419" i="1"/>
  <c r="O420" i="1"/>
  <c r="O421" i="1"/>
  <c r="O422" i="1"/>
  <c r="O423" i="1"/>
  <c r="O424" i="1"/>
  <c r="O425" i="1"/>
  <c r="O426" i="1"/>
  <c r="O427" i="1"/>
  <c r="O428" i="1"/>
  <c r="O429" i="1"/>
  <c r="O430" i="1"/>
  <c r="O431" i="1"/>
  <c r="O432" i="1"/>
  <c r="O433" i="1"/>
  <c r="O434" i="1"/>
  <c r="O435" i="1"/>
  <c r="O436" i="1"/>
  <c r="O437" i="1"/>
  <c r="O438" i="1"/>
  <c r="O439" i="1"/>
  <c r="O440" i="1"/>
  <c r="O441" i="1"/>
  <c r="O442" i="1"/>
  <c r="O443" i="1"/>
  <c r="O444" i="1"/>
  <c r="O445" i="1"/>
  <c r="O446" i="1"/>
  <c r="O447" i="1"/>
  <c r="O448" i="1"/>
  <c r="O449" i="1"/>
  <c r="O450" i="1"/>
  <c r="O451" i="1"/>
  <c r="O452" i="1"/>
  <c r="O453" i="1"/>
  <c r="O454" i="1"/>
  <c r="O455" i="1"/>
  <c r="O456" i="1"/>
  <c r="O457" i="1"/>
  <c r="O458" i="1"/>
  <c r="O459" i="1"/>
  <c r="O460" i="1"/>
  <c r="O461" i="1"/>
  <c r="O462" i="1"/>
  <c r="O463" i="1"/>
  <c r="O464" i="1"/>
  <c r="O465" i="1"/>
  <c r="O466" i="1"/>
  <c r="O467" i="1"/>
  <c r="O468" i="1"/>
  <c r="O469" i="1"/>
  <c r="O470" i="1"/>
  <c r="O471" i="1"/>
  <c r="O472" i="1"/>
  <c r="O473" i="1"/>
  <c r="O375" i="1"/>
  <c r="O263" i="1"/>
  <c r="O264" i="1"/>
  <c r="O265" i="1"/>
  <c r="O266" i="1"/>
  <c r="O267" i="1"/>
  <c r="O268" i="1"/>
  <c r="O269" i="1"/>
  <c r="O270" i="1"/>
  <c r="O271" i="1"/>
  <c r="O272" i="1"/>
  <c r="O273" i="1"/>
  <c r="O274" i="1"/>
  <c r="O275" i="1"/>
  <c r="O276" i="1"/>
  <c r="O277" i="1"/>
  <c r="O278" i="1"/>
  <c r="O279" i="1"/>
  <c r="O280" i="1"/>
  <c r="O281" i="1"/>
  <c r="O282" i="1"/>
  <c r="O283" i="1"/>
  <c r="O284" i="1"/>
  <c r="O285" i="1"/>
  <c r="O286" i="1"/>
  <c r="O287" i="1"/>
  <c r="O288" i="1"/>
  <c r="O289" i="1"/>
  <c r="O290" i="1"/>
  <c r="O291" i="1"/>
  <c r="O292" i="1"/>
  <c r="O293" i="1"/>
  <c r="O294" i="1"/>
  <c r="O295" i="1"/>
  <c r="O296" i="1"/>
  <c r="O297" i="1"/>
  <c r="O298" i="1"/>
  <c r="O299" i="1"/>
  <c r="O300" i="1"/>
  <c r="O301" i="1"/>
  <c r="O302" i="1"/>
  <c r="O303" i="1"/>
  <c r="O304" i="1"/>
  <c r="O305" i="1"/>
  <c r="O306" i="1"/>
  <c r="O307" i="1"/>
  <c r="O308" i="1"/>
  <c r="O309" i="1"/>
  <c r="O310" i="1"/>
  <c r="O311" i="1"/>
  <c r="O312" i="1"/>
  <c r="O313" i="1"/>
  <c r="O314" i="1"/>
  <c r="O315" i="1"/>
  <c r="O316" i="1"/>
  <c r="O317" i="1"/>
  <c r="O318" i="1"/>
  <c r="O319" i="1"/>
  <c r="O320" i="1"/>
  <c r="O321" i="1"/>
  <c r="O322" i="1"/>
  <c r="O323" i="1"/>
  <c r="O324" i="1"/>
  <c r="O325" i="1"/>
  <c r="O326" i="1"/>
  <c r="O327" i="1"/>
  <c r="O328" i="1"/>
  <c r="O329" i="1"/>
  <c r="O330" i="1"/>
  <c r="O331" i="1"/>
  <c r="O332" i="1"/>
  <c r="O333" i="1"/>
  <c r="O334" i="1"/>
  <c r="O335" i="1"/>
  <c r="O336" i="1"/>
  <c r="O339" i="1"/>
  <c r="O340" i="1"/>
  <c r="O341" i="1"/>
  <c r="O342" i="1"/>
  <c r="O343" i="1"/>
  <c r="O344" i="1"/>
  <c r="O345" i="1"/>
  <c r="O346" i="1"/>
  <c r="O347" i="1"/>
  <c r="O348" i="1"/>
  <c r="O349" i="1"/>
  <c r="O350" i="1"/>
  <c r="O351" i="1"/>
  <c r="O352" i="1"/>
  <c r="O353" i="1"/>
  <c r="O354" i="1"/>
  <c r="O355" i="1"/>
  <c r="O356" i="1"/>
  <c r="O357" i="1"/>
  <c r="O358" i="1"/>
  <c r="O359" i="1"/>
  <c r="O360" i="1"/>
  <c r="O361" i="1"/>
  <c r="O362" i="1"/>
  <c r="O363" i="1"/>
  <c r="O364" i="1"/>
  <c r="O365" i="1"/>
  <c r="O366" i="1"/>
  <c r="O367" i="1"/>
  <c r="O368" i="1"/>
  <c r="O369" i="1"/>
  <c r="O370" i="1"/>
  <c r="O371" i="1"/>
  <c r="O372" i="1"/>
  <c r="O373" i="1"/>
  <c r="O262" i="1"/>
  <c r="O197" i="1"/>
  <c r="O198" i="1"/>
  <c r="O199" i="1"/>
  <c r="O200" i="1"/>
  <c r="O201" i="1"/>
  <c r="O202" i="1"/>
  <c r="O203" i="1"/>
  <c r="O204" i="1"/>
  <c r="O205" i="1"/>
  <c r="O206" i="1"/>
  <c r="O207" i="1"/>
  <c r="O208" i="1"/>
  <c r="O209" i="1"/>
  <c r="O210" i="1"/>
  <c r="O211" i="1"/>
  <c r="O212" i="1"/>
  <c r="O213" i="1"/>
  <c r="O214" i="1"/>
  <c r="O215" i="1"/>
  <c r="O216" i="1"/>
  <c r="O217" i="1"/>
  <c r="O218" i="1"/>
  <c r="O219" i="1"/>
  <c r="O220" i="1"/>
  <c r="O221" i="1"/>
  <c r="O222" i="1"/>
  <c r="O223" i="1"/>
  <c r="O224" i="1"/>
  <c r="O225" i="1"/>
  <c r="O226" i="1"/>
  <c r="O227" i="1"/>
  <c r="O228" i="1"/>
  <c r="O229" i="1"/>
  <c r="O230" i="1"/>
  <c r="O231" i="1"/>
  <c r="O232" i="1"/>
  <c r="O233" i="1"/>
  <c r="O234" i="1"/>
  <c r="O235" i="1"/>
  <c r="O236" i="1"/>
  <c r="O237" i="1"/>
  <c r="O238" i="1"/>
  <c r="O239" i="1"/>
  <c r="O240" i="1"/>
  <c r="O241" i="1"/>
  <c r="O242" i="1"/>
  <c r="O243" i="1"/>
  <c r="O244" i="1"/>
  <c r="O245" i="1"/>
  <c r="O246" i="1"/>
  <c r="O247" i="1"/>
  <c r="O253" i="1"/>
  <c r="O254" i="1"/>
  <c r="O255" i="1"/>
  <c r="O256" i="1"/>
  <c r="O257" i="1"/>
  <c r="O258" i="1"/>
  <c r="O259" i="1"/>
  <c r="O260" i="1"/>
  <c r="O196" i="1"/>
  <c r="O132" i="1"/>
  <c r="O133" i="1"/>
  <c r="O134" i="1"/>
  <c r="O135" i="1"/>
  <c r="O136" i="1"/>
  <c r="O137" i="1"/>
  <c r="O138" i="1"/>
  <c r="O139" i="1"/>
  <c r="O140" i="1"/>
  <c r="O141" i="1"/>
  <c r="O142" i="1"/>
  <c r="O143" i="1"/>
  <c r="O144" i="1"/>
  <c r="O145" i="1"/>
  <c r="O146" i="1"/>
  <c r="O147" i="1"/>
  <c r="O148" i="1"/>
  <c r="O149" i="1"/>
  <c r="O150" i="1"/>
  <c r="O151" i="1"/>
  <c r="O152" i="1"/>
  <c r="O153" i="1"/>
  <c r="O154" i="1"/>
  <c r="O155" i="1"/>
  <c r="O156" i="1"/>
  <c r="O157" i="1"/>
  <c r="O158" i="1"/>
  <c r="O159" i="1"/>
  <c r="O160" i="1"/>
  <c r="O161" i="1"/>
  <c r="O162" i="1"/>
  <c r="O163" i="1"/>
  <c r="O165" i="1"/>
  <c r="O166" i="1"/>
  <c r="O167" i="1"/>
  <c r="O168" i="1"/>
  <c r="O169" i="1"/>
  <c r="O170" i="1"/>
  <c r="O171" i="1"/>
  <c r="O172" i="1"/>
  <c r="O173" i="1"/>
  <c r="O174" i="1"/>
  <c r="O175" i="1"/>
  <c r="O176" i="1"/>
  <c r="O177" i="1"/>
  <c r="O178" i="1"/>
  <c r="O179" i="1"/>
  <c r="O180" i="1"/>
  <c r="O181" i="1"/>
  <c r="O182" i="1"/>
  <c r="O183" i="1"/>
  <c r="O184" i="1"/>
  <c r="O185" i="1"/>
  <c r="O186" i="1"/>
  <c r="O187" i="1"/>
  <c r="O188" i="1"/>
  <c r="O189" i="1"/>
  <c r="O190" i="1"/>
  <c r="O191" i="1"/>
  <c r="O192" i="1"/>
  <c r="O193" i="1"/>
  <c r="O131" i="1"/>
  <c r="O84" i="1"/>
  <c r="O85" i="1"/>
  <c r="O86" i="1"/>
  <c r="O87" i="1"/>
  <c r="O88" i="1"/>
  <c r="O89" i="1"/>
  <c r="O90" i="1"/>
  <c r="O91" i="1"/>
  <c r="O92" i="1"/>
  <c r="O93" i="1"/>
  <c r="O94" i="1"/>
  <c r="O95" i="1"/>
  <c r="O96" i="1"/>
  <c r="O97" i="1"/>
  <c r="O98" i="1"/>
  <c r="O99" i="1"/>
  <c r="O100" i="1"/>
  <c r="O101" i="1"/>
  <c r="O102" i="1"/>
  <c r="O103" i="1"/>
  <c r="O104" i="1"/>
  <c r="O105" i="1"/>
  <c r="O106" i="1"/>
  <c r="O107" i="1"/>
  <c r="O108" i="1"/>
  <c r="O109" i="1"/>
  <c r="O110" i="1"/>
  <c r="O111" i="1"/>
  <c r="O112" i="1"/>
  <c r="O113" i="1"/>
  <c r="O114" i="1"/>
  <c r="O115" i="1"/>
  <c r="O116" i="1"/>
  <c r="O117" i="1"/>
  <c r="O118" i="1"/>
  <c r="O119" i="1"/>
  <c r="O120" i="1"/>
  <c r="O121" i="1"/>
  <c r="O122" i="1"/>
  <c r="O123" i="1"/>
  <c r="O124" i="1"/>
  <c r="O125" i="1"/>
  <c r="O126" i="1"/>
  <c r="O127" i="1"/>
  <c r="O128" i="1"/>
  <c r="O83" i="1"/>
  <c r="O36" i="1"/>
  <c r="O37" i="1"/>
  <c r="O38" i="1"/>
  <c r="O39" i="1"/>
  <c r="O40" i="1"/>
  <c r="O41" i="1"/>
  <c r="O42" i="1"/>
  <c r="O43" i="1"/>
  <c r="O44" i="1"/>
  <c r="O45" i="1"/>
  <c r="O46" i="1"/>
  <c r="O47" i="1"/>
  <c r="O48" i="1"/>
  <c r="O49" i="1"/>
  <c r="O50" i="1"/>
  <c r="O51" i="1"/>
  <c r="O52" i="1"/>
  <c r="O53" i="1"/>
  <c r="O54" i="1"/>
  <c r="O55" i="1"/>
  <c r="O56" i="1"/>
  <c r="O57" i="1"/>
  <c r="O58" i="1"/>
  <c r="O59" i="1"/>
  <c r="O60" i="1"/>
  <c r="O61" i="1"/>
  <c r="O62" i="1"/>
  <c r="O63" i="1"/>
  <c r="O64" i="1"/>
  <c r="O65" i="1"/>
  <c r="O66" i="1"/>
  <c r="O67" i="1"/>
  <c r="O68" i="1"/>
  <c r="O69" i="1"/>
  <c r="O70" i="1"/>
  <c r="O71" i="1"/>
  <c r="O72" i="1"/>
  <c r="O73" i="1"/>
  <c r="O74" i="1"/>
  <c r="O75" i="1"/>
  <c r="O76" i="1"/>
  <c r="O77" i="1"/>
  <c r="O78" i="1"/>
  <c r="O79" i="1"/>
  <c r="O80" i="1"/>
  <c r="O81" i="1"/>
  <c r="O30" i="1"/>
  <c r="O31" i="1"/>
  <c r="O32" i="1"/>
  <c r="O33" i="1"/>
  <c r="O34" i="1"/>
  <c r="O35" i="1"/>
  <c r="O27" i="1"/>
  <c r="O28" i="1"/>
  <c r="O29" i="1"/>
  <c r="O21" i="1"/>
  <c r="O22" i="1"/>
  <c r="O23" i="1"/>
  <c r="O24" i="1"/>
  <c r="O25" i="1"/>
  <c r="O26" i="1"/>
  <c r="O17" i="1"/>
  <c r="O18" i="1"/>
  <c r="O19" i="1"/>
  <c r="O20" i="1"/>
  <c r="O15" i="1"/>
  <c r="O16" i="1"/>
  <c r="O14" i="1"/>
  <c r="O12" i="1"/>
  <c r="O13" i="1"/>
  <c r="O11" i="1"/>
  <c r="O4" i="1"/>
  <c r="O5" i="1"/>
  <c r="O7" i="1"/>
  <c r="O8" i="1"/>
  <c r="O9" i="1"/>
  <c r="O10" i="1"/>
  <c r="O3" i="1"/>
  <c r="Z315" i="1" l="1"/>
  <c r="AA315" i="1"/>
  <c r="S177" i="1" l="1"/>
  <c r="T177" i="1"/>
  <c r="S315" i="1" l="1"/>
  <c r="T315" i="1"/>
  <c r="U315" i="1"/>
  <c r="T471" i="1" l="1"/>
  <c r="T447" i="1"/>
  <c r="T448" i="1"/>
  <c r="T449" i="1"/>
  <c r="T450" i="1"/>
  <c r="T451" i="1"/>
  <c r="T452" i="1"/>
  <c r="T432" i="1"/>
  <c r="T433" i="1"/>
  <c r="T434" i="1"/>
  <c r="T435" i="1"/>
  <c r="T436" i="1"/>
  <c r="T437" i="1"/>
  <c r="T438" i="1"/>
  <c r="T439" i="1"/>
  <c r="T440" i="1"/>
  <c r="T441" i="1"/>
  <c r="T442" i="1"/>
  <c r="T443" i="1"/>
  <c r="T428" i="1"/>
  <c r="T418" i="1"/>
  <c r="T419" i="1"/>
  <c r="T409" i="1"/>
  <c r="T410" i="1"/>
  <c r="T411" i="1"/>
  <c r="T412" i="1"/>
  <c r="T403" i="1"/>
  <c r="T404" i="1"/>
  <c r="T350" i="1"/>
  <c r="T340" i="1"/>
  <c r="T341" i="1"/>
  <c r="T336" i="1"/>
  <c r="T328" i="1"/>
  <c r="T300" i="1"/>
  <c r="T292" i="1"/>
  <c r="T271" i="1"/>
  <c r="T272" i="1"/>
  <c r="T266" i="1"/>
  <c r="T267" i="1"/>
  <c r="T268" i="1"/>
  <c r="T262" i="1"/>
  <c r="T263" i="1"/>
  <c r="T261" i="1"/>
  <c r="T245" i="1"/>
  <c r="T246" i="1"/>
  <c r="T215" i="1"/>
  <c r="T216" i="1"/>
  <c r="T217" i="1"/>
  <c r="T207" i="1"/>
  <c r="T208" i="1"/>
  <c r="T205" i="1"/>
  <c r="T160" i="1"/>
  <c r="T148" i="1"/>
  <c r="T149" i="1"/>
  <c r="T144" i="1"/>
  <c r="T145" i="1"/>
  <c r="T146" i="1"/>
  <c r="T124" i="1"/>
  <c r="T125" i="1"/>
  <c r="T126" i="1"/>
  <c r="T127" i="1"/>
  <c r="T121" i="1"/>
  <c r="T122" i="1"/>
  <c r="T119" i="1"/>
  <c r="T115" i="1"/>
  <c r="T112" i="1"/>
  <c r="T113" i="1"/>
  <c r="T104" i="1"/>
  <c r="T105" i="1"/>
  <c r="T106" i="1"/>
  <c r="T107" i="1"/>
  <c r="T108" i="1"/>
  <c r="T109" i="1"/>
  <c r="T97" i="1"/>
  <c r="T93" i="1"/>
  <c r="T94" i="1"/>
  <c r="T85" i="1"/>
  <c r="T84" i="1"/>
  <c r="T83" i="1"/>
  <c r="T80" i="1"/>
  <c r="T81" i="1"/>
  <c r="T74" i="1"/>
  <c r="T75" i="1"/>
  <c r="T76" i="1"/>
  <c r="T77" i="1"/>
  <c r="T78" i="1"/>
  <c r="T66" i="1"/>
  <c r="T67" i="1"/>
  <c r="T68" i="1"/>
  <c r="T69" i="1"/>
  <c r="T63" i="1"/>
  <c r="T64" i="1"/>
  <c r="T50" i="1"/>
  <c r="T51" i="1"/>
  <c r="T52" i="1"/>
  <c r="T53" i="1"/>
  <c r="T45" i="1"/>
  <c r="T46" i="1"/>
  <c r="T47" i="1"/>
  <c r="T48" i="1"/>
  <c r="T30" i="1"/>
  <c r="T31" i="1"/>
  <c r="T32" i="1"/>
  <c r="T33" i="1"/>
  <c r="T34" i="1"/>
  <c r="T35" i="1"/>
  <c r="T26" i="1"/>
  <c r="T17" i="1"/>
  <c r="T4" i="1"/>
  <c r="T5" i="1"/>
  <c r="T7" i="1"/>
  <c r="T8" i="1"/>
  <c r="T9" i="1"/>
  <c r="T10" i="1"/>
  <c r="T11" i="1"/>
  <c r="T12" i="1"/>
  <c r="T13" i="1"/>
  <c r="T14" i="1"/>
  <c r="T15" i="1"/>
  <c r="T16" i="1"/>
  <c r="T3" i="1"/>
  <c r="U263" i="1" l="1"/>
  <c r="T311" i="1"/>
  <c r="T310" i="1"/>
  <c r="T349" i="1"/>
  <c r="Z443" i="1"/>
  <c r="AA443" i="1"/>
  <c r="Z442" i="1"/>
  <c r="AA442" i="1"/>
  <c r="T425" i="1"/>
  <c r="T423" i="1"/>
  <c r="T422" i="1"/>
  <c r="T397" i="1"/>
  <c r="T369" i="1"/>
  <c r="T368" i="1"/>
  <c r="T330" i="1"/>
  <c r="T322" i="1"/>
  <c r="T288" i="1"/>
  <c r="Z288" i="1"/>
  <c r="AA288" i="1"/>
  <c r="T260" i="1"/>
  <c r="T239" i="1"/>
  <c r="T226" i="1"/>
  <c r="T185" i="1"/>
  <c r="Z185" i="1"/>
  <c r="AA185" i="1"/>
  <c r="T163" i="1"/>
  <c r="T158" i="1"/>
  <c r="Z158" i="1"/>
  <c r="AA158" i="1"/>
  <c r="T111" i="1"/>
  <c r="S271" i="1"/>
  <c r="T157" i="1"/>
  <c r="Z157" i="1"/>
  <c r="AA157" i="1"/>
  <c r="S80" i="1"/>
  <c r="Z34" i="1" l="1"/>
  <c r="AA34" i="1"/>
  <c r="U471" i="1"/>
  <c r="T274" i="1"/>
  <c r="Z274" i="1"/>
  <c r="AA274" i="1"/>
  <c r="S176" i="1"/>
  <c r="T176" i="1"/>
  <c r="U274" i="1" l="1"/>
  <c r="S274" i="1"/>
  <c r="U80" i="1"/>
  <c r="U121" i="1"/>
  <c r="S121" i="1"/>
  <c r="S82" i="1" l="1"/>
  <c r="U82" i="1"/>
  <c r="U81" i="1"/>
  <c r="S81" i="1"/>
  <c r="S471" i="1"/>
  <c r="U279" i="1" l="1"/>
  <c r="T279" i="1"/>
  <c r="S279" i="1"/>
  <c r="U275" i="1"/>
  <c r="T275" i="1"/>
  <c r="S275" i="1"/>
  <c r="U7" i="1" l="1"/>
  <c r="S7" i="1"/>
  <c r="U373" i="1"/>
  <c r="T373" i="1"/>
  <c r="S373" i="1"/>
  <c r="S52" i="1" l="1"/>
  <c r="U52" i="1"/>
  <c r="S476" i="1" l="1"/>
  <c r="S477" i="1"/>
  <c r="S478" i="1"/>
  <c r="S479" i="1"/>
  <c r="S480" i="1"/>
  <c r="S481" i="1"/>
  <c r="S482" i="1"/>
  <c r="S483" i="1"/>
  <c r="S484" i="1"/>
  <c r="S485" i="1"/>
  <c r="S486" i="1"/>
  <c r="S487" i="1"/>
  <c r="S488" i="1"/>
  <c r="S489" i="1"/>
  <c r="S490" i="1"/>
  <c r="S491" i="1"/>
  <c r="S492" i="1"/>
  <c r="S493" i="1"/>
  <c r="S494" i="1"/>
  <c r="S495" i="1"/>
  <c r="S496" i="1"/>
  <c r="S497" i="1"/>
  <c r="S498" i="1"/>
  <c r="S499" i="1"/>
  <c r="S500" i="1"/>
  <c r="S501" i="1"/>
  <c r="S502" i="1"/>
  <c r="S503" i="1"/>
  <c r="S504" i="1"/>
  <c r="S505" i="1"/>
  <c r="S506" i="1"/>
  <c r="S507" i="1"/>
  <c r="S508" i="1"/>
  <c r="S509" i="1"/>
  <c r="S510" i="1"/>
  <c r="S475" i="1"/>
  <c r="S97" i="1"/>
  <c r="S93" i="1"/>
  <c r="S94" i="1"/>
  <c r="S74" i="1"/>
  <c r="S75" i="1"/>
  <c r="S76" i="1"/>
  <c r="S77" i="1"/>
  <c r="S78" i="1"/>
  <c r="S79" i="1"/>
  <c r="S83" i="1"/>
  <c r="S84" i="1"/>
  <c r="S66" i="1"/>
  <c r="S67" i="1"/>
  <c r="S68" i="1"/>
  <c r="S69" i="1"/>
  <c r="S63" i="1"/>
  <c r="S64" i="1"/>
  <c r="S50" i="1"/>
  <c r="S51" i="1"/>
  <c r="S53" i="1"/>
  <c r="S54" i="1"/>
  <c r="S45" i="1"/>
  <c r="S46" i="1"/>
  <c r="S47" i="1"/>
  <c r="S48" i="1"/>
  <c r="S30" i="1"/>
  <c r="S31" i="1"/>
  <c r="S32" i="1"/>
  <c r="S33" i="1"/>
  <c r="S34" i="1"/>
  <c r="S35" i="1"/>
  <c r="S26" i="1"/>
  <c r="S15" i="1"/>
  <c r="S16" i="1"/>
  <c r="S4" i="1"/>
  <c r="S5" i="1"/>
  <c r="S3" i="1"/>
  <c r="S447" i="1"/>
  <c r="S448" i="1"/>
  <c r="S449" i="1"/>
  <c r="S450" i="1"/>
  <c r="S451" i="1"/>
  <c r="S452" i="1"/>
  <c r="S432" i="1"/>
  <c r="S433" i="1"/>
  <c r="S434" i="1"/>
  <c r="S435" i="1"/>
  <c r="S436" i="1"/>
  <c r="S437" i="1"/>
  <c r="S438" i="1"/>
  <c r="S439" i="1"/>
  <c r="S440" i="1"/>
  <c r="S441" i="1"/>
  <c r="S442" i="1"/>
  <c r="S443" i="1"/>
  <c r="S428" i="1"/>
  <c r="S425" i="1"/>
  <c r="S422" i="1"/>
  <c r="S423" i="1"/>
  <c r="S418" i="1"/>
  <c r="S419" i="1"/>
  <c r="S409" i="1"/>
  <c r="S410" i="1"/>
  <c r="S411" i="1"/>
  <c r="S412" i="1"/>
  <c r="S404" i="1"/>
  <c r="S403" i="1"/>
  <c r="S397" i="1"/>
  <c r="S368" i="1"/>
  <c r="S369" i="1"/>
  <c r="S350" i="1"/>
  <c r="S266" i="1"/>
  <c r="S267" i="1"/>
  <c r="S268" i="1"/>
  <c r="S269" i="1"/>
  <c r="S270" i="1"/>
  <c r="S272" i="1"/>
  <c r="S273" i="1"/>
  <c r="S276" i="1"/>
  <c r="S277" i="1"/>
  <c r="S278" i="1"/>
  <c r="S280" i="1"/>
  <c r="S281" i="1"/>
  <c r="S282" i="1"/>
  <c r="S283" i="1"/>
  <c r="S284" i="1"/>
  <c r="S285" i="1"/>
  <c r="S286" i="1"/>
  <c r="S287" i="1"/>
  <c r="S288" i="1"/>
  <c r="S289" i="1"/>
  <c r="S290" i="1"/>
  <c r="S291" i="1"/>
  <c r="S292" i="1"/>
  <c r="S293" i="1"/>
  <c r="S294" i="1"/>
  <c r="S295" i="1"/>
  <c r="S296" i="1"/>
  <c r="S297" i="1"/>
  <c r="S298" i="1"/>
  <c r="S299" i="1"/>
  <c r="S300" i="1"/>
  <c r="S301" i="1"/>
  <c r="S302" i="1"/>
  <c r="S303" i="1"/>
  <c r="S304" i="1"/>
  <c r="S305" i="1"/>
  <c r="S306" i="1"/>
  <c r="S307" i="1"/>
  <c r="S308" i="1"/>
  <c r="S309" i="1"/>
  <c r="S310" i="1"/>
  <c r="S311" i="1"/>
  <c r="S312" i="1"/>
  <c r="S313" i="1"/>
  <c r="S314" i="1"/>
  <c r="S316" i="1"/>
  <c r="S317" i="1"/>
  <c r="S318" i="1"/>
  <c r="S319" i="1"/>
  <c r="S320" i="1"/>
  <c r="S321" i="1"/>
  <c r="S322" i="1"/>
  <c r="S323" i="1"/>
  <c r="S324" i="1"/>
  <c r="S325" i="1"/>
  <c r="S326" i="1"/>
  <c r="S327" i="1"/>
  <c r="S328" i="1"/>
  <c r="S329" i="1"/>
  <c r="S330" i="1"/>
  <c r="S331" i="1"/>
  <c r="S332" i="1"/>
  <c r="S333" i="1"/>
  <c r="S334" i="1"/>
  <c r="S335" i="1"/>
  <c r="S336" i="1"/>
  <c r="S339" i="1"/>
  <c r="S340" i="1"/>
  <c r="S341" i="1"/>
  <c r="S342" i="1"/>
  <c r="S343" i="1"/>
  <c r="S344" i="1"/>
  <c r="S345" i="1"/>
  <c r="S346" i="1"/>
  <c r="S347" i="1"/>
  <c r="S348" i="1"/>
  <c r="S349" i="1"/>
  <c r="S245" i="1"/>
  <c r="S246" i="1"/>
  <c r="S247" i="1"/>
  <c r="S253" i="1"/>
  <c r="S254" i="1"/>
  <c r="S255" i="1"/>
  <c r="S256" i="1"/>
  <c r="S257" i="1"/>
  <c r="S258" i="1"/>
  <c r="S259" i="1"/>
  <c r="S260" i="1"/>
  <c r="S261" i="1"/>
  <c r="S262" i="1"/>
  <c r="S263" i="1"/>
  <c r="S239" i="1"/>
  <c r="S205" i="1"/>
  <c r="S206" i="1"/>
  <c r="S207" i="1"/>
  <c r="S208" i="1"/>
  <c r="S209" i="1"/>
  <c r="S210" i="1"/>
  <c r="S211" i="1"/>
  <c r="S212" i="1"/>
  <c r="S213" i="1"/>
  <c r="S214" i="1"/>
  <c r="S215" i="1"/>
  <c r="S216" i="1"/>
  <c r="S217" i="1"/>
  <c r="S185" i="1"/>
  <c r="S160" i="1"/>
  <c r="S161" i="1"/>
  <c r="S162" i="1"/>
  <c r="S163" i="1"/>
  <c r="S165" i="1"/>
  <c r="S148" i="1"/>
  <c r="S149" i="1"/>
  <c r="S150" i="1"/>
  <c r="S151" i="1"/>
  <c r="S152" i="1"/>
  <c r="S153" i="1"/>
  <c r="S154" i="1"/>
  <c r="S155" i="1"/>
  <c r="S156" i="1"/>
  <c r="S157" i="1"/>
  <c r="S158" i="1"/>
  <c r="S144" i="1"/>
  <c r="S145" i="1"/>
  <c r="S146" i="1"/>
  <c r="S122" i="1"/>
  <c r="S123" i="1"/>
  <c r="S124" i="1"/>
  <c r="S125" i="1"/>
  <c r="S126" i="1"/>
  <c r="S127" i="1"/>
  <c r="S119" i="1"/>
  <c r="S115" i="1"/>
  <c r="S111" i="1"/>
  <c r="S112" i="1"/>
  <c r="S113" i="1"/>
  <c r="S108" i="1"/>
  <c r="S109" i="1"/>
  <c r="U104" i="1"/>
  <c r="U112" i="1"/>
  <c r="S107" i="1"/>
  <c r="U107" i="1"/>
  <c r="S105" i="1"/>
  <c r="S106" i="1"/>
  <c r="U106" i="1"/>
  <c r="U105" i="1"/>
  <c r="S104" i="1"/>
  <c r="U79" i="1" l="1"/>
  <c r="T79" i="1"/>
  <c r="U26" i="1"/>
  <c r="U25" i="1"/>
  <c r="T25" i="1"/>
  <c r="S25" i="1"/>
  <c r="U24" i="1"/>
  <c r="T24" i="1"/>
  <c r="S24" i="1"/>
  <c r="U23" i="1"/>
  <c r="T23" i="1"/>
  <c r="S23" i="1"/>
  <c r="S473" i="1" l="1"/>
  <c r="S472" i="1"/>
  <c r="S470" i="1"/>
  <c r="S469" i="1"/>
  <c r="S468" i="1"/>
  <c r="S467" i="1"/>
  <c r="S466" i="1"/>
  <c r="S465" i="1"/>
  <c r="S464" i="1"/>
  <c r="S463" i="1"/>
  <c r="S462" i="1"/>
  <c r="S461" i="1"/>
  <c r="S460" i="1"/>
  <c r="S459" i="1"/>
  <c r="S458" i="1"/>
  <c r="S457" i="1"/>
  <c r="S456" i="1"/>
  <c r="S455" i="1"/>
  <c r="S454" i="1"/>
  <c r="S453" i="1"/>
  <c r="S446" i="1"/>
  <c r="S445" i="1"/>
  <c r="S444" i="1"/>
  <c r="S431" i="1"/>
  <c r="S430" i="1"/>
  <c r="S429" i="1"/>
  <c r="S427" i="1"/>
  <c r="S426" i="1"/>
  <c r="S424" i="1"/>
  <c r="S421" i="1"/>
  <c r="S420" i="1"/>
  <c r="S417" i="1"/>
  <c r="S416" i="1"/>
  <c r="S415" i="1"/>
  <c r="S414" i="1"/>
  <c r="S413" i="1"/>
  <c r="S408" i="1"/>
  <c r="S407" i="1"/>
  <c r="S406" i="1"/>
  <c r="S405" i="1"/>
  <c r="S402" i="1"/>
  <c r="S401" i="1"/>
  <c r="S399" i="1"/>
  <c r="S398" i="1"/>
  <c r="S396" i="1"/>
  <c r="S395" i="1"/>
  <c r="S394" i="1"/>
  <c r="S393" i="1"/>
  <c r="S392" i="1"/>
  <c r="S391" i="1"/>
  <c r="S390" i="1"/>
  <c r="S389" i="1"/>
  <c r="S388" i="1"/>
  <c r="S387" i="1"/>
  <c r="S386" i="1"/>
  <c r="S385" i="1"/>
  <c r="S384" i="1"/>
  <c r="S383" i="1"/>
  <c r="S382" i="1"/>
  <c r="S381" i="1"/>
  <c r="S380" i="1"/>
  <c r="S379" i="1"/>
  <c r="S378" i="1"/>
  <c r="S377" i="1"/>
  <c r="S376" i="1"/>
  <c r="S375" i="1"/>
  <c r="S372" i="1"/>
  <c r="S371" i="1"/>
  <c r="S370" i="1"/>
  <c r="S367" i="1"/>
  <c r="S366" i="1"/>
  <c r="S365" i="1"/>
  <c r="S364" i="1"/>
  <c r="S363" i="1"/>
  <c r="S362" i="1"/>
  <c r="S361" i="1"/>
  <c r="S360" i="1"/>
  <c r="S359" i="1"/>
  <c r="S358" i="1"/>
  <c r="S357" i="1"/>
  <c r="S356" i="1"/>
  <c r="S355" i="1"/>
  <c r="S354" i="1"/>
  <c r="S353" i="1"/>
  <c r="S352" i="1"/>
  <c r="S351" i="1"/>
  <c r="S265" i="1"/>
  <c r="S264" i="1"/>
  <c r="S244" i="1"/>
  <c r="S243" i="1"/>
  <c r="S242" i="1"/>
  <c r="S241" i="1"/>
  <c r="S240" i="1"/>
  <c r="S238" i="1"/>
  <c r="S237" i="1"/>
  <c r="S236" i="1"/>
  <c r="S235" i="1"/>
  <c r="S234" i="1"/>
  <c r="S233" i="1"/>
  <c r="S232" i="1"/>
  <c r="S231" i="1"/>
  <c r="S230" i="1"/>
  <c r="S229" i="1"/>
  <c r="S228" i="1"/>
  <c r="S227" i="1"/>
  <c r="S225" i="1"/>
  <c r="S224" i="1"/>
  <c r="S223" i="1"/>
  <c r="S222" i="1"/>
  <c r="S221" i="1"/>
  <c r="S220" i="1"/>
  <c r="S219" i="1"/>
  <c r="S218" i="1"/>
  <c r="S204" i="1"/>
  <c r="S203" i="1"/>
  <c r="S202" i="1"/>
  <c r="S201" i="1"/>
  <c r="S200" i="1"/>
  <c r="S199" i="1"/>
  <c r="S198" i="1"/>
  <c r="S197" i="1"/>
  <c r="S196" i="1"/>
  <c r="S193" i="1"/>
  <c r="S192" i="1"/>
  <c r="S191" i="1"/>
  <c r="S190" i="1"/>
  <c r="S189" i="1"/>
  <c r="S188" i="1"/>
  <c r="S187" i="1"/>
  <c r="S186" i="1"/>
  <c r="S184" i="1"/>
  <c r="S183" i="1"/>
  <c r="S182" i="1"/>
  <c r="S181" i="1"/>
  <c r="S180" i="1"/>
  <c r="S179" i="1"/>
  <c r="S178" i="1"/>
  <c r="S175" i="1"/>
  <c r="S174" i="1"/>
  <c r="S173" i="1"/>
  <c r="S172" i="1"/>
  <c r="S171" i="1"/>
  <c r="S170" i="1"/>
  <c r="S169" i="1"/>
  <c r="S168" i="1"/>
  <c r="S167" i="1"/>
  <c r="S166" i="1"/>
  <c r="S159" i="1"/>
  <c r="S147" i="1"/>
  <c r="S143" i="1"/>
  <c r="S142" i="1"/>
  <c r="S141" i="1"/>
  <c r="S140" i="1"/>
  <c r="S139" i="1"/>
  <c r="S138" i="1"/>
  <c r="S137" i="1"/>
  <c r="S136" i="1"/>
  <c r="S135" i="1"/>
  <c r="S134" i="1"/>
  <c r="S133" i="1"/>
  <c r="S132" i="1"/>
  <c r="S131" i="1"/>
  <c r="S128" i="1"/>
  <c r="S117" i="1"/>
  <c r="S116" i="1"/>
  <c r="S118" i="1"/>
  <c r="S114" i="1"/>
  <c r="S110" i="1"/>
  <c r="S103" i="1"/>
  <c r="S102" i="1"/>
  <c r="S101" i="1"/>
  <c r="S100" i="1"/>
  <c r="S99" i="1"/>
  <c r="S98" i="1"/>
  <c r="S96" i="1"/>
  <c r="S95" i="1"/>
  <c r="S120" i="1"/>
  <c r="S92" i="1"/>
  <c r="S91" i="1"/>
  <c r="S90" i="1"/>
  <c r="S89" i="1"/>
  <c r="S88" i="1"/>
  <c r="S87" i="1"/>
  <c r="S86" i="1"/>
  <c r="S85" i="1"/>
  <c r="S73" i="1"/>
  <c r="S72" i="1"/>
  <c r="S71" i="1"/>
  <c r="S70" i="1"/>
  <c r="S65" i="1"/>
  <c r="S62" i="1"/>
  <c r="S61" i="1"/>
  <c r="S60" i="1"/>
  <c r="S59" i="1"/>
  <c r="S58" i="1"/>
  <c r="S57" i="1"/>
  <c r="S56" i="1"/>
  <c r="S55" i="1"/>
  <c r="S49" i="1"/>
  <c r="S44" i="1"/>
  <c r="S43" i="1"/>
  <c r="S42" i="1"/>
  <c r="S41" i="1"/>
  <c r="S40" i="1"/>
  <c r="S39" i="1"/>
  <c r="S38" i="1"/>
  <c r="S37" i="1"/>
  <c r="S36" i="1"/>
  <c r="S29" i="1"/>
  <c r="S28" i="1"/>
  <c r="S27" i="1"/>
  <c r="S22" i="1"/>
  <c r="S21" i="1"/>
  <c r="S20" i="1"/>
  <c r="S19" i="1"/>
  <c r="S18" i="1"/>
  <c r="S17" i="1"/>
  <c r="S14" i="1"/>
  <c r="S13" i="1"/>
  <c r="S12" i="1"/>
  <c r="S11" i="1"/>
  <c r="S10" i="1"/>
  <c r="S9" i="1"/>
  <c r="S8" i="1"/>
  <c r="T473" i="1" l="1"/>
  <c r="T472" i="1"/>
  <c r="T470" i="1"/>
  <c r="T469" i="1"/>
  <c r="T468" i="1"/>
  <c r="T467" i="1"/>
  <c r="T466" i="1"/>
  <c r="T465" i="1"/>
  <c r="T464" i="1"/>
  <c r="T463" i="1"/>
  <c r="T462" i="1"/>
  <c r="T461" i="1"/>
  <c r="T460" i="1"/>
  <c r="T459" i="1"/>
  <c r="T458" i="1"/>
  <c r="T457" i="1"/>
  <c r="T456" i="1"/>
  <c r="T455" i="1"/>
  <c r="T454" i="1"/>
  <c r="T453" i="1"/>
  <c r="T446" i="1"/>
  <c r="T445" i="1"/>
  <c r="T444" i="1"/>
  <c r="T431" i="1"/>
  <c r="T430" i="1"/>
  <c r="T429" i="1"/>
  <c r="T427" i="1"/>
  <c r="T426" i="1"/>
  <c r="T424" i="1"/>
  <c r="T421" i="1"/>
  <c r="T420" i="1"/>
  <c r="T417" i="1"/>
  <c r="T416" i="1"/>
  <c r="T415" i="1"/>
  <c r="T414" i="1"/>
  <c r="T413" i="1"/>
  <c r="T408" i="1"/>
  <c r="T407" i="1"/>
  <c r="T406" i="1"/>
  <c r="T405" i="1"/>
  <c r="T402" i="1"/>
  <c r="T401" i="1"/>
  <c r="T399" i="1"/>
  <c r="T398" i="1"/>
  <c r="T396" i="1"/>
  <c r="T395" i="1"/>
  <c r="T394" i="1"/>
  <c r="T393" i="1"/>
  <c r="T392" i="1"/>
  <c r="T391" i="1"/>
  <c r="T390" i="1"/>
  <c r="T389" i="1"/>
  <c r="T388" i="1"/>
  <c r="T387" i="1"/>
  <c r="T386" i="1"/>
  <c r="T385" i="1"/>
  <c r="T384" i="1"/>
  <c r="T383" i="1"/>
  <c r="T382" i="1"/>
  <c r="T381" i="1"/>
  <c r="T380" i="1"/>
  <c r="T379" i="1"/>
  <c r="T378" i="1"/>
  <c r="T377" i="1"/>
  <c r="T376" i="1"/>
  <c r="T375" i="1"/>
  <c r="T372" i="1"/>
  <c r="T371" i="1"/>
  <c r="T370" i="1"/>
  <c r="T367" i="1"/>
  <c r="T366" i="1"/>
  <c r="T365" i="1"/>
  <c r="T364" i="1"/>
  <c r="T363" i="1"/>
  <c r="T362" i="1"/>
  <c r="T361" i="1"/>
  <c r="T360" i="1"/>
  <c r="T359" i="1"/>
  <c r="T358" i="1"/>
  <c r="T357" i="1"/>
  <c r="T356" i="1"/>
  <c r="T355" i="1"/>
  <c r="T354" i="1"/>
  <c r="T353" i="1"/>
  <c r="T352" i="1"/>
  <c r="T351" i="1"/>
  <c r="T348" i="1"/>
  <c r="T347" i="1"/>
  <c r="T346" i="1"/>
  <c r="T345" i="1"/>
  <c r="T344" i="1"/>
  <c r="T343" i="1"/>
  <c r="T342" i="1"/>
  <c r="T339" i="1"/>
  <c r="T335" i="1"/>
  <c r="T334" i="1"/>
  <c r="T333" i="1"/>
  <c r="T332" i="1"/>
  <c r="T331" i="1"/>
  <c r="T329" i="1"/>
  <c r="T327" i="1"/>
  <c r="T326" i="1"/>
  <c r="T325" i="1"/>
  <c r="T324" i="1"/>
  <c r="T323" i="1"/>
  <c r="T321" i="1"/>
  <c r="T320" i="1"/>
  <c r="T319" i="1"/>
  <c r="T318" i="1"/>
  <c r="T317" i="1"/>
  <c r="T316" i="1"/>
  <c r="T314" i="1"/>
  <c r="T313" i="1"/>
  <c r="T312" i="1"/>
  <c r="T309" i="1"/>
  <c r="T308" i="1"/>
  <c r="T307" i="1"/>
  <c r="T306" i="1"/>
  <c r="T305" i="1"/>
  <c r="T304" i="1"/>
  <c r="T303" i="1"/>
  <c r="T302" i="1"/>
  <c r="T301" i="1"/>
  <c r="T299" i="1"/>
  <c r="T298" i="1"/>
  <c r="T297" i="1"/>
  <c r="T296" i="1"/>
  <c r="T295" i="1"/>
  <c r="T294" i="1"/>
  <c r="T293" i="1"/>
  <c r="T291" i="1"/>
  <c r="T290" i="1"/>
  <c r="T289" i="1"/>
  <c r="T287" i="1"/>
  <c r="T286" i="1"/>
  <c r="T285" i="1"/>
  <c r="T284" i="1"/>
  <c r="T283" i="1"/>
  <c r="T282" i="1"/>
  <c r="T281" i="1"/>
  <c r="T280" i="1"/>
  <c r="T278" i="1"/>
  <c r="T277" i="1"/>
  <c r="T276" i="1"/>
  <c r="T273" i="1"/>
  <c r="T270" i="1"/>
  <c r="T269" i="1"/>
  <c r="T265" i="1"/>
  <c r="T264" i="1"/>
  <c r="T259" i="1"/>
  <c r="T258" i="1"/>
  <c r="T257" i="1"/>
  <c r="T256" i="1"/>
  <c r="T255" i="1"/>
  <c r="T254" i="1"/>
  <c r="T253" i="1"/>
  <c r="T247" i="1"/>
  <c r="T244" i="1"/>
  <c r="T243" i="1"/>
  <c r="T242" i="1"/>
  <c r="T241" i="1"/>
  <c r="T240" i="1"/>
  <c r="T238" i="1"/>
  <c r="T237" i="1"/>
  <c r="T236" i="1"/>
  <c r="T235" i="1"/>
  <c r="T234" i="1"/>
  <c r="T233" i="1"/>
  <c r="T232" i="1"/>
  <c r="T231" i="1"/>
  <c r="T230" i="1"/>
  <c r="T229" i="1"/>
  <c r="T228" i="1"/>
  <c r="T227" i="1"/>
  <c r="T225" i="1"/>
  <c r="T224" i="1"/>
  <c r="T223" i="1"/>
  <c r="T222" i="1"/>
  <c r="T221" i="1"/>
  <c r="T220" i="1"/>
  <c r="T219" i="1"/>
  <c r="T218" i="1"/>
  <c r="T214" i="1"/>
  <c r="T213" i="1"/>
  <c r="T212" i="1"/>
  <c r="T211" i="1"/>
  <c r="T210" i="1"/>
  <c r="T209" i="1"/>
  <c r="T206" i="1"/>
  <c r="T204" i="1"/>
  <c r="T203" i="1"/>
  <c r="T202" i="1"/>
  <c r="T201" i="1"/>
  <c r="T200" i="1"/>
  <c r="T199" i="1"/>
  <c r="T198" i="1"/>
  <c r="T197" i="1"/>
  <c r="T196" i="1"/>
  <c r="T193" i="1"/>
  <c r="T192" i="1"/>
  <c r="T191" i="1"/>
  <c r="T190" i="1"/>
  <c r="T189" i="1"/>
  <c r="T188" i="1"/>
  <c r="T187" i="1"/>
  <c r="T186" i="1"/>
  <c r="T184" i="1"/>
  <c r="T183" i="1"/>
  <c r="T182" i="1"/>
  <c r="T181" i="1"/>
  <c r="T180" i="1"/>
  <c r="T179" i="1"/>
  <c r="T178" i="1"/>
  <c r="T175" i="1"/>
  <c r="T174" i="1"/>
  <c r="T173" i="1"/>
  <c r="T172" i="1"/>
  <c r="T171" i="1"/>
  <c r="T170" i="1"/>
  <c r="T169" i="1"/>
  <c r="T168" i="1"/>
  <c r="T167" i="1"/>
  <c r="T166" i="1"/>
  <c r="T165" i="1"/>
  <c r="T162" i="1"/>
  <c r="T161" i="1"/>
  <c r="T159" i="1"/>
  <c r="T156" i="1"/>
  <c r="T155" i="1"/>
  <c r="T154" i="1"/>
  <c r="T153" i="1"/>
  <c r="T152" i="1"/>
  <c r="T151" i="1"/>
  <c r="T150" i="1"/>
  <c r="T147" i="1"/>
  <c r="T143" i="1"/>
  <c r="T142" i="1"/>
  <c r="T141" i="1"/>
  <c r="T140" i="1"/>
  <c r="T139" i="1"/>
  <c r="T138" i="1"/>
  <c r="T137" i="1"/>
  <c r="T136" i="1"/>
  <c r="T135" i="1"/>
  <c r="T134" i="1"/>
  <c r="T133" i="1"/>
  <c r="T132" i="1"/>
  <c r="T131" i="1"/>
  <c r="T128" i="1"/>
  <c r="T117" i="1"/>
  <c r="T116" i="1"/>
  <c r="T118" i="1"/>
  <c r="T114" i="1"/>
  <c r="T110" i="1"/>
  <c r="T103" i="1"/>
  <c r="T102" i="1"/>
  <c r="T101" i="1"/>
  <c r="T100" i="1"/>
  <c r="T99" i="1"/>
  <c r="T98" i="1"/>
  <c r="T96" i="1"/>
  <c r="T95" i="1"/>
  <c r="T123" i="1"/>
  <c r="T120" i="1"/>
  <c r="T92" i="1"/>
  <c r="T91" i="1"/>
  <c r="T90" i="1"/>
  <c r="T89" i="1"/>
  <c r="T88" i="1"/>
  <c r="T87" i="1"/>
  <c r="T86" i="1"/>
  <c r="T73" i="1"/>
  <c r="T72" i="1"/>
  <c r="T71" i="1"/>
  <c r="T70" i="1"/>
  <c r="T65" i="1"/>
  <c r="T62" i="1"/>
  <c r="T61" i="1"/>
  <c r="T60" i="1"/>
  <c r="T59" i="1"/>
  <c r="T58" i="1"/>
  <c r="T57" i="1"/>
  <c r="T56" i="1"/>
  <c r="T55" i="1"/>
  <c r="T54" i="1"/>
  <c r="T49" i="1"/>
  <c r="T44" i="1"/>
  <c r="T43" i="1"/>
  <c r="T42" i="1"/>
  <c r="T41" i="1"/>
  <c r="T40" i="1"/>
  <c r="T39" i="1"/>
  <c r="T38" i="1"/>
  <c r="T37" i="1"/>
  <c r="T36" i="1"/>
  <c r="T29" i="1"/>
  <c r="T28" i="1"/>
  <c r="T27" i="1"/>
  <c r="T22" i="1"/>
  <c r="T21" i="1"/>
  <c r="T20" i="1"/>
  <c r="T19" i="1"/>
  <c r="T18" i="1"/>
  <c r="U473" i="1" l="1"/>
  <c r="U472" i="1"/>
  <c r="U470" i="1"/>
  <c r="U469" i="1"/>
  <c r="U185" i="1" l="1"/>
  <c r="U336" i="1" l="1"/>
  <c r="U339" i="1"/>
  <c r="U151" i="1" l="1"/>
  <c r="U16" i="1" l="1"/>
  <c r="U15" i="1"/>
  <c r="U173" i="1" l="1"/>
  <c r="U99" i="1" l="1"/>
  <c r="U98" i="1"/>
  <c r="U96" i="1"/>
  <c r="U60" i="1"/>
  <c r="U34" i="1"/>
  <c r="U50" i="1"/>
  <c r="U49" i="1"/>
  <c r="U41" i="1"/>
  <c r="U40" i="1"/>
  <c r="U38" i="1"/>
  <c r="U37" i="1"/>
  <c r="U13" i="1"/>
  <c r="U12" i="1"/>
  <c r="U11" i="1"/>
  <c r="U10" i="1"/>
  <c r="U14" i="1"/>
  <c r="U174" i="1"/>
  <c r="U165" i="1"/>
  <c r="U146" i="1"/>
  <c r="U145" i="1"/>
  <c r="U144" i="1"/>
  <c r="U143" i="1"/>
  <c r="U142" i="1"/>
  <c r="U141" i="1"/>
  <c r="U140" i="1"/>
  <c r="U139" i="1"/>
  <c r="U137" i="1"/>
  <c r="U136" i="1"/>
  <c r="U135" i="1"/>
  <c r="U134" i="1"/>
  <c r="U132" i="1"/>
  <c r="U158" i="1"/>
  <c r="U157" i="1"/>
  <c r="U154" i="1"/>
  <c r="U190" i="1" l="1"/>
  <c r="U206" i="1"/>
  <c r="U201" i="1"/>
  <c r="U212" i="1"/>
  <c r="U224" i="1"/>
  <c r="U220" i="1"/>
  <c r="U219" i="1"/>
  <c r="U218" i="1"/>
  <c r="U217" i="1"/>
  <c r="U216" i="1"/>
  <c r="U215" i="1"/>
  <c r="U214" i="1"/>
  <c r="U236" i="1"/>
  <c r="U234" i="1"/>
  <c r="U474" i="1"/>
  <c r="U468" i="1"/>
  <c r="U410" i="1"/>
  <c r="U407" i="1"/>
  <c r="U406" i="1"/>
  <c r="U405" i="1"/>
  <c r="U404" i="1"/>
  <c r="U403" i="1"/>
  <c r="U402" i="1"/>
  <c r="U414" i="1"/>
  <c r="U413" i="1"/>
  <c r="U425" i="1"/>
  <c r="U424" i="1"/>
  <c r="U423" i="1"/>
  <c r="U422" i="1"/>
  <c r="U420" i="1"/>
  <c r="U432" i="1"/>
  <c r="U431" i="1"/>
  <c r="U429" i="1"/>
  <c r="U428" i="1"/>
  <c r="U439" i="1"/>
  <c r="Z439" i="1"/>
  <c r="AA439" i="1"/>
  <c r="U436" i="1"/>
  <c r="Z436" i="1"/>
  <c r="U435" i="1"/>
  <c r="Z435" i="1"/>
  <c r="U446" i="1" l="1"/>
  <c r="U445" i="1"/>
  <c r="U444" i="1"/>
  <c r="U443" i="1"/>
  <c r="U442" i="1"/>
  <c r="U387" i="1"/>
  <c r="U386" i="1"/>
  <c r="U385" i="1"/>
  <c r="U384" i="1"/>
  <c r="U371" i="1" l="1"/>
  <c r="U369" i="1"/>
  <c r="U368" i="1"/>
  <c r="U365" i="1"/>
  <c r="U380" i="1"/>
  <c r="U378" i="1"/>
  <c r="U377" i="1"/>
  <c r="U376" i="1"/>
  <c r="U375" i="1"/>
  <c r="U335" i="1"/>
  <c r="U399" i="1"/>
  <c r="U397" i="1"/>
  <c r="U396" i="1"/>
  <c r="U395" i="1"/>
  <c r="U394" i="1"/>
  <c r="U393" i="1"/>
  <c r="U392" i="1"/>
  <c r="U391" i="1"/>
  <c r="U390" i="1"/>
  <c r="U300" i="1"/>
  <c r="U296" i="1"/>
  <c r="U294" i="1"/>
  <c r="U288" i="1"/>
  <c r="U283" i="1"/>
  <c r="U282" i="1"/>
  <c r="U281" i="1"/>
  <c r="U280" i="1"/>
  <c r="U278" i="1"/>
  <c r="U291" i="1"/>
  <c r="U305" i="1"/>
  <c r="U316" i="1"/>
  <c r="U318" i="1"/>
  <c r="U317" i="1"/>
  <c r="U314" i="1"/>
  <c r="U313" i="1"/>
  <c r="U312" i="1"/>
  <c r="U330" i="1"/>
  <c r="U331" i="1"/>
  <c r="U332" i="1"/>
  <c r="U329" i="1"/>
  <c r="U328" i="1"/>
  <c r="U327" i="1"/>
  <c r="U326" i="1"/>
  <c r="U325" i="1"/>
  <c r="U324" i="1"/>
  <c r="U323" i="1"/>
  <c r="U322" i="1"/>
  <c r="U321" i="1"/>
  <c r="U320" i="1"/>
  <c r="U319" i="1"/>
  <c r="U345" i="1" l="1"/>
  <c r="U344" i="1"/>
  <c r="U265" i="1" l="1"/>
  <c r="U264" i="1"/>
  <c r="U262" i="1"/>
  <c r="U261" i="1"/>
  <c r="U260" i="1"/>
  <c r="U259" i="1"/>
  <c r="U258" i="1"/>
  <c r="U257" i="1"/>
  <c r="U256" i="1"/>
  <c r="U255" i="1"/>
  <c r="U254" i="1"/>
  <c r="U253" i="1"/>
  <c r="U11" i="2" l="1"/>
  <c r="V11" i="2"/>
  <c r="W11" i="2"/>
  <c r="X11" i="2"/>
  <c r="U10" i="2"/>
  <c r="V10" i="2"/>
  <c r="W10" i="2"/>
  <c r="X10" i="2"/>
  <c r="U9" i="2"/>
  <c r="V9" i="2"/>
  <c r="W9" i="2"/>
  <c r="X9" i="2"/>
  <c r="U8" i="2"/>
  <c r="V8" i="2"/>
  <c r="W8" i="2"/>
  <c r="X8" i="2"/>
  <c r="U6" i="2"/>
  <c r="V6" i="2"/>
  <c r="W6" i="2"/>
  <c r="X6" i="2"/>
  <c r="U5" i="2"/>
  <c r="V5" i="2"/>
  <c r="W5" i="2"/>
  <c r="X5" i="2"/>
  <c r="U4" i="2"/>
  <c r="V4" i="2"/>
  <c r="W4" i="2"/>
  <c r="X4" i="2"/>
  <c r="U3" i="2"/>
  <c r="V3" i="2"/>
  <c r="W3" i="2"/>
  <c r="X3" i="2"/>
  <c r="U16" i="2" l="1"/>
  <c r="V14" i="2"/>
  <c r="V12" i="2"/>
  <c r="V15" i="2"/>
  <c r="U15" i="2"/>
  <c r="U13" i="2"/>
  <c r="X15" i="2"/>
  <c r="W14" i="2"/>
  <c r="X16" i="2"/>
  <c r="W13" i="2"/>
  <c r="U14" i="2"/>
  <c r="U12" i="2"/>
  <c r="X14" i="2"/>
  <c r="V13" i="2"/>
  <c r="V16" i="2"/>
  <c r="X13" i="2"/>
  <c r="W16" i="2"/>
  <c r="W15" i="2"/>
  <c r="W12" i="2"/>
  <c r="X12" i="2"/>
  <c r="W7" i="2"/>
  <c r="U7" i="2"/>
  <c r="X7" i="2"/>
  <c r="V7" i="2"/>
  <c r="U17" i="2" l="1"/>
  <c r="X17" i="2"/>
  <c r="W17" i="2"/>
  <c r="V17" i="2"/>
  <c r="U3" i="1"/>
  <c r="U4" i="1"/>
  <c r="U5" i="1"/>
  <c r="U8" i="1"/>
  <c r="U9" i="1"/>
  <c r="U17" i="1"/>
  <c r="U18" i="1"/>
  <c r="U19" i="1"/>
  <c r="U20" i="1"/>
  <c r="U21" i="1"/>
  <c r="U22" i="1"/>
  <c r="U27" i="1"/>
  <c r="U28" i="1"/>
  <c r="U29" i="1"/>
  <c r="U30" i="1"/>
  <c r="U31" i="1"/>
  <c r="U32" i="1"/>
  <c r="U33" i="1"/>
  <c r="U35" i="1"/>
  <c r="U36" i="1"/>
  <c r="U39" i="1"/>
  <c r="U42" i="1"/>
  <c r="U43" i="1"/>
  <c r="U44" i="1"/>
  <c r="U45" i="1"/>
  <c r="U46" i="1"/>
  <c r="U47" i="1"/>
  <c r="U48" i="1"/>
  <c r="U51" i="1"/>
  <c r="U53" i="1"/>
  <c r="U54" i="1"/>
  <c r="U55" i="1"/>
  <c r="U56" i="1"/>
  <c r="U57" i="1"/>
  <c r="U58" i="1"/>
  <c r="U59" i="1"/>
  <c r="U61" i="1"/>
  <c r="U62" i="1"/>
  <c r="U63" i="1"/>
  <c r="U64" i="1"/>
  <c r="U65" i="1"/>
  <c r="U66" i="1"/>
  <c r="U67" i="1"/>
  <c r="U68" i="1"/>
  <c r="U69" i="1"/>
  <c r="U70" i="1"/>
  <c r="U71" i="1"/>
  <c r="U72" i="1"/>
  <c r="U73" i="1"/>
  <c r="U74" i="1"/>
  <c r="U75" i="1"/>
  <c r="U76" i="1"/>
  <c r="U77" i="1"/>
  <c r="U78" i="1"/>
  <c r="U83" i="1"/>
  <c r="U84" i="1"/>
  <c r="U85" i="1"/>
  <c r="U86" i="1"/>
  <c r="U87" i="1"/>
  <c r="U88" i="1"/>
  <c r="U89" i="1"/>
  <c r="U90" i="1"/>
  <c r="U91" i="1"/>
  <c r="U92" i="1"/>
  <c r="U120" i="1"/>
  <c r="U123" i="1"/>
  <c r="U119" i="1"/>
  <c r="U93" i="1"/>
  <c r="U94" i="1"/>
  <c r="U95" i="1"/>
  <c r="U97" i="1"/>
  <c r="U100" i="1"/>
  <c r="U101" i="1"/>
  <c r="U102" i="1"/>
  <c r="U103" i="1"/>
  <c r="U108" i="1"/>
  <c r="U109" i="1"/>
  <c r="U110" i="1"/>
  <c r="U111" i="1"/>
  <c r="U113" i="1"/>
  <c r="U114" i="1"/>
  <c r="U118" i="1"/>
  <c r="U116" i="1"/>
  <c r="U117" i="1"/>
  <c r="U122" i="1"/>
  <c r="U115" i="1"/>
  <c r="U124" i="1"/>
  <c r="U125" i="1"/>
  <c r="U126" i="1"/>
  <c r="U127" i="1"/>
  <c r="U128" i="1"/>
  <c r="U129" i="1"/>
  <c r="U130" i="1"/>
  <c r="U131" i="1"/>
  <c r="U133" i="1"/>
  <c r="U138" i="1"/>
  <c r="U147" i="1"/>
  <c r="U148" i="1"/>
  <c r="U149" i="1"/>
  <c r="U150" i="1"/>
  <c r="U152" i="1"/>
  <c r="U153" i="1"/>
  <c r="U155" i="1"/>
  <c r="U156" i="1"/>
  <c r="U159" i="1"/>
  <c r="U160" i="1"/>
  <c r="U161" i="1"/>
  <c r="U162" i="1"/>
  <c r="U163" i="1"/>
  <c r="U166" i="1"/>
  <c r="U167" i="1"/>
  <c r="U168" i="1"/>
  <c r="U169" i="1"/>
  <c r="U170" i="1"/>
  <c r="U171" i="1"/>
  <c r="U172" i="1"/>
  <c r="U175" i="1"/>
  <c r="U176" i="1"/>
  <c r="U177" i="1"/>
  <c r="U178" i="1"/>
  <c r="U179" i="1"/>
  <c r="U180" i="1"/>
  <c r="U181" i="1"/>
  <c r="U182" i="1"/>
  <c r="U183" i="1"/>
  <c r="U184" i="1"/>
  <c r="U186" i="1"/>
  <c r="U187" i="1"/>
  <c r="U188" i="1"/>
  <c r="U189" i="1"/>
  <c r="U191" i="1"/>
  <c r="U192" i="1"/>
  <c r="U193" i="1"/>
  <c r="U194" i="1"/>
  <c r="U195" i="1"/>
  <c r="U196" i="1"/>
  <c r="U197" i="1"/>
  <c r="U198" i="1"/>
  <c r="U199" i="1"/>
  <c r="U200" i="1"/>
  <c r="U202" i="1"/>
  <c r="U203" i="1"/>
  <c r="U204" i="1"/>
  <c r="U205" i="1"/>
  <c r="U207" i="1"/>
  <c r="U208" i="1"/>
  <c r="U209" i="1"/>
  <c r="U210" i="1"/>
  <c r="U211" i="1"/>
  <c r="U213" i="1"/>
  <c r="U221" i="1"/>
  <c r="U222" i="1"/>
  <c r="U223" i="1"/>
  <c r="U225" i="1"/>
  <c r="U226" i="1"/>
  <c r="U227" i="1"/>
  <c r="U228" i="1"/>
  <c r="U229" i="1"/>
  <c r="U230" i="1"/>
  <c r="U231" i="1"/>
  <c r="U232" i="1"/>
  <c r="U233" i="1"/>
  <c r="U235" i="1"/>
  <c r="U237" i="1"/>
  <c r="U238" i="1"/>
  <c r="U239" i="1"/>
  <c r="U240" i="1"/>
  <c r="U241" i="1"/>
  <c r="U242" i="1"/>
  <c r="U243" i="1"/>
  <c r="U244" i="1"/>
  <c r="U245" i="1"/>
  <c r="U246" i="1"/>
  <c r="U247" i="1"/>
  <c r="U266" i="1"/>
  <c r="U267" i="1"/>
  <c r="U268" i="1"/>
  <c r="U269" i="1"/>
  <c r="U270" i="1"/>
  <c r="U271" i="1"/>
  <c r="U272" i="1"/>
  <c r="U273" i="1"/>
  <c r="U276" i="1"/>
  <c r="U277" i="1"/>
  <c r="U284" i="1"/>
  <c r="U285" i="1"/>
  <c r="U286" i="1"/>
  <c r="U287" i="1"/>
  <c r="U289" i="1"/>
  <c r="U290" i="1"/>
  <c r="U292" i="1"/>
  <c r="U293" i="1"/>
  <c r="U295" i="1"/>
  <c r="U297" i="1"/>
  <c r="U298" i="1"/>
  <c r="U299" i="1"/>
  <c r="U301" i="1"/>
  <c r="U302" i="1"/>
  <c r="U303" i="1"/>
  <c r="U304" i="1"/>
  <c r="U306" i="1"/>
  <c r="U307" i="1"/>
  <c r="U308" i="1"/>
  <c r="U309" i="1"/>
  <c r="U310" i="1"/>
  <c r="U311" i="1"/>
  <c r="U333" i="1"/>
  <c r="U334" i="1"/>
  <c r="U340" i="1"/>
  <c r="U341" i="1"/>
  <c r="U342" i="1"/>
  <c r="U343" i="1"/>
  <c r="U346" i="1"/>
  <c r="U347" i="1"/>
  <c r="U348" i="1"/>
  <c r="U349" i="1"/>
  <c r="U350" i="1"/>
  <c r="U351" i="1"/>
  <c r="U352" i="1"/>
  <c r="U353" i="1"/>
  <c r="U354" i="1"/>
  <c r="U355" i="1"/>
  <c r="U356" i="1"/>
  <c r="U357" i="1"/>
  <c r="U358" i="1"/>
  <c r="U359" i="1"/>
  <c r="U360" i="1"/>
  <c r="U361" i="1"/>
  <c r="U362" i="1"/>
  <c r="U363" i="1"/>
  <c r="U364" i="1"/>
  <c r="U366" i="1"/>
  <c r="U367" i="1"/>
  <c r="U370" i="1"/>
  <c r="U372" i="1"/>
  <c r="U374" i="1"/>
  <c r="U379" i="1"/>
  <c r="U381" i="1"/>
  <c r="U382" i="1"/>
  <c r="U383" i="1"/>
  <c r="U388" i="1"/>
  <c r="U389" i="1"/>
  <c r="U398" i="1"/>
  <c r="U400" i="1"/>
  <c r="U401" i="1"/>
  <c r="U408" i="1"/>
  <c r="U409" i="1"/>
  <c r="U411" i="1"/>
  <c r="U412" i="1"/>
  <c r="U415" i="1"/>
  <c r="U416" i="1"/>
  <c r="U417" i="1"/>
  <c r="U418" i="1"/>
  <c r="U419" i="1"/>
  <c r="U421" i="1"/>
  <c r="U426" i="1"/>
  <c r="U427" i="1"/>
  <c r="U430" i="1"/>
  <c r="U433" i="1"/>
  <c r="U434" i="1"/>
  <c r="U437" i="1"/>
  <c r="U438" i="1"/>
  <c r="U440" i="1"/>
  <c r="U441" i="1"/>
  <c r="U447" i="1"/>
  <c r="U448" i="1"/>
  <c r="U449" i="1"/>
  <c r="U450" i="1"/>
  <c r="U451" i="1"/>
  <c r="U452" i="1"/>
  <c r="U453" i="1"/>
  <c r="U454" i="1"/>
  <c r="U455" i="1"/>
  <c r="U456" i="1"/>
  <c r="U457" i="1"/>
  <c r="U458" i="1"/>
  <c r="U459" i="1"/>
  <c r="U460" i="1"/>
  <c r="U461" i="1"/>
  <c r="U462" i="1"/>
  <c r="U463" i="1"/>
  <c r="U464" i="1"/>
  <c r="U465" i="1"/>
  <c r="U466" i="1"/>
  <c r="U467" i="1"/>
  <c r="U475" i="1"/>
  <c r="U476" i="1"/>
  <c r="U477" i="1"/>
  <c r="U478" i="1"/>
  <c r="U479" i="1"/>
  <c r="U480" i="1"/>
  <c r="U481" i="1"/>
  <c r="U482" i="1"/>
  <c r="U483" i="1"/>
  <c r="U484" i="1"/>
  <c r="U485" i="1"/>
  <c r="U486" i="1"/>
  <c r="U487" i="1"/>
  <c r="U488" i="1"/>
  <c r="U489" i="1"/>
  <c r="U490" i="1"/>
  <c r="U491" i="1"/>
  <c r="U492" i="1"/>
  <c r="U493" i="1"/>
  <c r="U494" i="1"/>
  <c r="U495" i="1"/>
  <c r="U496" i="1"/>
  <c r="U497" i="1"/>
  <c r="U498" i="1"/>
  <c r="U499" i="1"/>
  <c r="U500" i="1"/>
  <c r="U501" i="1"/>
  <c r="U502" i="1"/>
  <c r="U503" i="1"/>
  <c r="U504" i="1"/>
  <c r="U505" i="1"/>
  <c r="U506" i="1"/>
  <c r="U507" i="1"/>
  <c r="U508" i="1"/>
  <c r="U509" i="1"/>
  <c r="U510" i="1"/>
  <c r="S226" i="1"/>
  <c r="O8" i="2" l="1"/>
  <c r="O9" i="2"/>
  <c r="O10" i="2"/>
  <c r="O11" i="2"/>
  <c r="O3" i="2"/>
  <c r="O4" i="2"/>
  <c r="O5" i="2"/>
  <c r="O6" i="2"/>
  <c r="Q8" i="2"/>
  <c r="Q9" i="2"/>
  <c r="Q10" i="2"/>
  <c r="Q11" i="2"/>
  <c r="Q3" i="2"/>
  <c r="Q4" i="2"/>
  <c r="Q5" i="2"/>
  <c r="Q6" i="2"/>
  <c r="Q15" i="2" l="1"/>
  <c r="Q13" i="2"/>
  <c r="Q14" i="2"/>
  <c r="O15" i="2"/>
  <c r="O14" i="2"/>
  <c r="O13" i="2"/>
  <c r="Q16" i="2"/>
  <c r="O16" i="2"/>
  <c r="O12" i="2"/>
  <c r="Q12" i="2"/>
  <c r="O7" i="2"/>
  <c r="Q7" i="2"/>
  <c r="Q17" i="2" l="1"/>
  <c r="O17" i="2"/>
  <c r="H11" i="2"/>
  <c r="H10" i="2"/>
  <c r="H9" i="2"/>
  <c r="H8" i="2"/>
  <c r="H6" i="2"/>
  <c r="H5" i="2"/>
  <c r="H4" i="2"/>
  <c r="H3" i="2"/>
  <c r="H16" i="2" l="1"/>
  <c r="H14" i="2"/>
  <c r="H7" i="2"/>
  <c r="H13" i="2"/>
  <c r="H15" i="2"/>
  <c r="T11" i="2"/>
  <c r="S11" i="2"/>
  <c r="R11" i="2"/>
  <c r="P11" i="2"/>
  <c r="N11" i="2"/>
  <c r="M11" i="2"/>
  <c r="L11" i="2"/>
  <c r="K11" i="2"/>
  <c r="J11" i="2"/>
  <c r="I11" i="2"/>
  <c r="G11" i="2"/>
  <c r="F11" i="2"/>
  <c r="E11" i="2"/>
  <c r="D11" i="2"/>
  <c r="T10" i="2"/>
  <c r="S10" i="2"/>
  <c r="R10" i="2"/>
  <c r="P10" i="2"/>
  <c r="N10" i="2"/>
  <c r="M10" i="2"/>
  <c r="L10" i="2"/>
  <c r="K10" i="2"/>
  <c r="J10" i="2"/>
  <c r="I10" i="2"/>
  <c r="G10" i="2"/>
  <c r="F10" i="2"/>
  <c r="E10" i="2"/>
  <c r="D10" i="2"/>
  <c r="T9" i="2"/>
  <c r="S9" i="2"/>
  <c r="R9" i="2"/>
  <c r="P9" i="2"/>
  <c r="N9" i="2"/>
  <c r="M9" i="2"/>
  <c r="L9" i="2"/>
  <c r="K9" i="2"/>
  <c r="J9" i="2"/>
  <c r="I9" i="2"/>
  <c r="G9" i="2"/>
  <c r="F9" i="2"/>
  <c r="E9" i="2"/>
  <c r="D9" i="2"/>
  <c r="T8" i="2"/>
  <c r="S8" i="2"/>
  <c r="R8" i="2"/>
  <c r="P8" i="2"/>
  <c r="N8" i="2"/>
  <c r="M8" i="2"/>
  <c r="L8" i="2"/>
  <c r="K8" i="2"/>
  <c r="J8" i="2"/>
  <c r="I8" i="2"/>
  <c r="G8" i="2"/>
  <c r="F8" i="2"/>
  <c r="E8" i="2"/>
  <c r="D8" i="2"/>
  <c r="T6" i="2"/>
  <c r="S6" i="2"/>
  <c r="R6" i="2"/>
  <c r="P6" i="2"/>
  <c r="N6" i="2"/>
  <c r="M6" i="2"/>
  <c r="L6" i="2"/>
  <c r="K6" i="2"/>
  <c r="J6" i="2"/>
  <c r="I6" i="2"/>
  <c r="G6" i="2"/>
  <c r="F6" i="2"/>
  <c r="E6" i="2"/>
  <c r="D6" i="2"/>
  <c r="T5" i="2"/>
  <c r="S5" i="2"/>
  <c r="R5" i="2"/>
  <c r="P5" i="2"/>
  <c r="N5" i="2"/>
  <c r="M5" i="2"/>
  <c r="L5" i="2"/>
  <c r="K5" i="2"/>
  <c r="J5" i="2"/>
  <c r="I5" i="2"/>
  <c r="G5" i="2"/>
  <c r="F5" i="2"/>
  <c r="E5" i="2"/>
  <c r="D5" i="2"/>
  <c r="T4" i="2"/>
  <c r="S4" i="2"/>
  <c r="R4" i="2"/>
  <c r="P4" i="2"/>
  <c r="N4" i="2"/>
  <c r="M4" i="2"/>
  <c r="L4" i="2"/>
  <c r="K4" i="2"/>
  <c r="J4" i="2"/>
  <c r="I4" i="2"/>
  <c r="G4" i="2"/>
  <c r="F4" i="2"/>
  <c r="E4" i="2"/>
  <c r="D4" i="2"/>
  <c r="T3" i="2"/>
  <c r="S3" i="2"/>
  <c r="R3" i="2"/>
  <c r="P3" i="2"/>
  <c r="N3" i="2"/>
  <c r="M3" i="2"/>
  <c r="L3" i="2"/>
  <c r="K3" i="2"/>
  <c r="J3" i="2"/>
  <c r="I3" i="2"/>
  <c r="G3" i="2"/>
  <c r="F3" i="2"/>
  <c r="E3" i="2"/>
  <c r="D3" i="2"/>
  <c r="I16" i="2" l="1"/>
  <c r="L14" i="2"/>
  <c r="K15" i="2"/>
  <c r="G16" i="2"/>
  <c r="L15" i="2"/>
  <c r="I15" i="2"/>
  <c r="F16" i="2"/>
  <c r="S16" i="2"/>
  <c r="M14" i="2"/>
  <c r="K16" i="2"/>
  <c r="S13" i="2"/>
  <c r="P14" i="2"/>
  <c r="R16" i="2"/>
  <c r="I14" i="2"/>
  <c r="M13" i="2"/>
  <c r="K14" i="2"/>
  <c r="T16" i="2"/>
  <c r="G13" i="2"/>
  <c r="R15" i="2"/>
  <c r="N16" i="2"/>
  <c r="E14" i="2"/>
  <c r="G14" i="2"/>
  <c r="I12" i="2"/>
  <c r="L13" i="2"/>
  <c r="G15" i="2"/>
  <c r="G12" i="2"/>
  <c r="I13" i="2"/>
  <c r="F14" i="2"/>
  <c r="S15" i="2"/>
  <c r="P16" i="2"/>
  <c r="S14" i="2"/>
  <c r="P15" i="2"/>
  <c r="M16" i="2"/>
  <c r="P12" i="2"/>
  <c r="S12" i="2"/>
  <c r="R14" i="2"/>
  <c r="N15" i="2"/>
  <c r="L12" i="2"/>
  <c r="Y3" i="2"/>
  <c r="Y4" i="2"/>
  <c r="Y5" i="2"/>
  <c r="Y6" i="2"/>
  <c r="Y8" i="2"/>
  <c r="Y9" i="2"/>
  <c r="Y10" i="2"/>
  <c r="Y11" i="2"/>
  <c r="D14" i="2"/>
  <c r="D15" i="2"/>
  <c r="D16" i="2"/>
  <c r="D12" i="2"/>
  <c r="H17" i="2"/>
  <c r="P7" i="2"/>
  <c r="J14" i="2"/>
  <c r="T15" i="2"/>
  <c r="T14" i="2"/>
  <c r="N14" i="2"/>
  <c r="E16" i="2"/>
  <c r="M15" i="2"/>
  <c r="M12" i="2"/>
  <c r="J16" i="2"/>
  <c r="N7" i="2"/>
  <c r="K7" i="2"/>
  <c r="J7" i="2"/>
  <c r="K12" i="2"/>
  <c r="R12" i="2"/>
  <c r="T12" i="2"/>
  <c r="J12" i="2"/>
  <c r="T13" i="2"/>
  <c r="E15" i="2"/>
  <c r="E12" i="2"/>
  <c r="E7" i="2"/>
  <c r="R7" i="2"/>
  <c r="F12" i="2"/>
  <c r="F15" i="2"/>
  <c r="F7" i="2"/>
  <c r="K13" i="2"/>
  <c r="R13" i="2"/>
  <c r="E13" i="2"/>
  <c r="L16" i="2"/>
  <c r="Z3" i="2"/>
  <c r="Z5" i="2"/>
  <c r="Z9" i="2"/>
  <c r="Z11" i="2"/>
  <c r="Z4" i="2"/>
  <c r="Z6" i="2"/>
  <c r="N13" i="2"/>
  <c r="Z10" i="2"/>
  <c r="J15" i="2"/>
  <c r="D7" i="2"/>
  <c r="I7" i="2"/>
  <c r="M7" i="2"/>
  <c r="S7" i="2"/>
  <c r="D13" i="2"/>
  <c r="J13" i="2"/>
  <c r="P13" i="2"/>
  <c r="G7" i="2"/>
  <c r="L7" i="2"/>
  <c r="Z8" i="2"/>
  <c r="T7" i="2"/>
  <c r="F13" i="2"/>
  <c r="N12" i="2"/>
  <c r="K17" i="2" l="1"/>
  <c r="I17" i="2"/>
  <c r="G17" i="2"/>
  <c r="L17" i="2"/>
  <c r="S17" i="2"/>
  <c r="P17" i="2"/>
  <c r="M17" i="2"/>
  <c r="R17" i="2"/>
  <c r="Y12" i="2"/>
  <c r="Y15" i="2"/>
  <c r="Y13" i="2"/>
  <c r="Y7" i="2"/>
  <c r="Y16" i="2"/>
  <c r="Y14" i="2"/>
  <c r="T17" i="2"/>
  <c r="Z14" i="2"/>
  <c r="N17" i="2"/>
  <c r="Z15" i="2"/>
  <c r="E17" i="2"/>
  <c r="F17" i="2"/>
  <c r="J17" i="2"/>
  <c r="Z16" i="2"/>
  <c r="Z13" i="2"/>
  <c r="D17" i="2"/>
  <c r="Z12" i="2"/>
  <c r="Z7" i="2"/>
  <c r="Y17" i="2" l="1"/>
  <c r="Z17" i="2"/>
  <c r="AA464" i="1" l="1"/>
  <c r="Z464" i="1"/>
  <c r="AA463" i="1"/>
  <c r="Z463" i="1"/>
  <c r="AA462" i="1"/>
  <c r="Z462" i="1"/>
  <c r="AA461" i="1"/>
  <c r="Z461" i="1"/>
  <c r="AA460" i="1"/>
  <c r="Z460" i="1"/>
  <c r="AA459" i="1"/>
  <c r="Z459" i="1"/>
  <c r="AA458" i="1"/>
  <c r="Z458" i="1"/>
  <c r="AA457" i="1"/>
  <c r="Z457" i="1"/>
  <c r="AA456" i="1"/>
  <c r="Z456" i="1"/>
  <c r="AA455" i="1"/>
  <c r="Z455" i="1"/>
  <c r="AA454" i="1"/>
  <c r="Z454" i="1"/>
  <c r="AA453" i="1"/>
  <c r="Z453" i="1"/>
  <c r="AA452" i="1"/>
  <c r="Z452" i="1"/>
  <c r="AA451" i="1"/>
  <c r="Z451" i="1"/>
  <c r="AA450" i="1"/>
  <c r="Z450" i="1"/>
  <c r="AA449" i="1"/>
  <c r="Z449" i="1"/>
  <c r="AA448" i="1"/>
  <c r="Z448" i="1"/>
  <c r="AA447" i="1"/>
  <c r="Z447" i="1"/>
  <c r="AA441" i="1"/>
  <c r="Z441" i="1"/>
  <c r="AA440" i="1"/>
  <c r="Z440" i="1"/>
  <c r="AA438" i="1"/>
  <c r="Z438" i="1"/>
  <c r="AA437" i="1"/>
  <c r="Z437" i="1"/>
  <c r="AA434" i="1"/>
  <c r="Z434" i="1"/>
  <c r="AA433" i="1"/>
  <c r="Z433" i="1"/>
  <c r="AA430" i="1"/>
  <c r="Z430" i="1"/>
  <c r="AA427" i="1"/>
  <c r="Z427" i="1"/>
  <c r="AA426" i="1"/>
  <c r="Z426" i="1"/>
  <c r="AA421" i="1"/>
  <c r="Z421" i="1"/>
  <c r="AA419" i="1"/>
  <c r="Z419" i="1"/>
  <c r="AA418" i="1"/>
  <c r="Z418" i="1"/>
  <c r="AA417" i="1"/>
  <c r="Z417" i="1"/>
  <c r="AA416" i="1"/>
  <c r="Z416" i="1"/>
  <c r="AA415" i="1"/>
  <c r="Z415" i="1"/>
  <c r="AA412" i="1"/>
  <c r="Z412" i="1"/>
  <c r="AA411" i="1"/>
  <c r="Z411" i="1"/>
  <c r="AA409" i="1"/>
  <c r="Z409" i="1"/>
  <c r="AA408" i="1"/>
  <c r="Z408" i="1"/>
  <c r="AA401" i="1"/>
  <c r="Z401" i="1"/>
  <c r="AA400" i="1"/>
  <c r="Z400" i="1"/>
  <c r="AA398" i="1"/>
  <c r="Z398" i="1"/>
  <c r="AA389" i="1"/>
  <c r="Z389" i="1"/>
  <c r="AA388" i="1"/>
  <c r="Z388" i="1"/>
  <c r="AA387" i="1"/>
  <c r="Z387" i="1"/>
  <c r="AA386" i="1"/>
  <c r="Z386" i="1"/>
  <c r="AA385" i="1"/>
  <c r="Z385" i="1"/>
  <c r="AA384" i="1"/>
  <c r="Z384" i="1"/>
  <c r="AA383" i="1"/>
  <c r="Z383" i="1"/>
  <c r="AA382" i="1"/>
  <c r="Z382" i="1"/>
  <c r="AA381" i="1"/>
  <c r="Z381" i="1"/>
  <c r="AA379" i="1"/>
  <c r="Z379" i="1"/>
  <c r="AA374" i="1"/>
  <c r="Z374" i="1"/>
  <c r="AA373" i="1"/>
  <c r="Z373" i="1"/>
  <c r="AA372" i="1"/>
  <c r="Z372" i="1"/>
  <c r="AA370" i="1"/>
  <c r="Z370" i="1"/>
  <c r="AA367" i="1"/>
  <c r="Z367" i="1"/>
  <c r="AA366" i="1"/>
  <c r="Z366" i="1"/>
  <c r="AA364" i="1"/>
  <c r="Z364" i="1"/>
  <c r="AA363" i="1"/>
  <c r="Z363" i="1"/>
  <c r="AA362" i="1"/>
  <c r="Z362" i="1"/>
  <c r="AA361" i="1"/>
  <c r="Z361" i="1"/>
  <c r="AA360" i="1"/>
  <c r="Z360" i="1"/>
  <c r="AA359" i="1"/>
  <c r="Z359" i="1"/>
  <c r="AA358" i="1"/>
  <c r="Z358" i="1"/>
  <c r="AA357" i="1"/>
  <c r="Z357" i="1"/>
  <c r="AA356" i="1"/>
  <c r="Z356" i="1"/>
  <c r="AA355" i="1"/>
  <c r="Z355" i="1"/>
  <c r="AA354" i="1"/>
  <c r="Z354" i="1"/>
  <c r="AA353" i="1"/>
  <c r="Z353" i="1"/>
  <c r="AA352" i="1"/>
  <c r="Z352" i="1"/>
  <c r="AA351" i="1"/>
  <c r="Z351" i="1"/>
  <c r="AA350" i="1"/>
  <c r="Z350" i="1"/>
  <c r="AA349" i="1"/>
  <c r="Z349" i="1"/>
  <c r="AA348" i="1"/>
  <c r="Z348" i="1"/>
  <c r="AA347" i="1"/>
  <c r="Z347" i="1"/>
  <c r="AA346" i="1"/>
  <c r="Z346" i="1"/>
  <c r="AA343" i="1"/>
  <c r="Z343" i="1"/>
  <c r="AA342" i="1"/>
  <c r="Z342" i="1"/>
  <c r="AA341" i="1"/>
  <c r="Z341" i="1"/>
  <c r="AA340" i="1"/>
  <c r="Z340" i="1"/>
  <c r="AA334" i="1"/>
  <c r="Z334" i="1"/>
  <c r="AA333" i="1"/>
  <c r="Z333" i="1"/>
  <c r="AA328" i="1"/>
  <c r="Z328" i="1"/>
  <c r="AA327" i="1"/>
  <c r="Z327" i="1"/>
  <c r="AA326" i="1"/>
  <c r="Z326" i="1"/>
  <c r="AA324" i="1"/>
  <c r="Z324" i="1"/>
  <c r="AA322" i="1"/>
  <c r="Z322" i="1"/>
  <c r="AA321" i="1"/>
  <c r="Z321" i="1"/>
  <c r="AA320" i="1"/>
  <c r="Z320" i="1"/>
  <c r="AA319" i="1"/>
  <c r="Z319" i="1"/>
  <c r="AA318" i="1"/>
  <c r="Z318" i="1"/>
  <c r="AA317" i="1"/>
  <c r="Z317" i="1"/>
  <c r="AA316" i="1"/>
  <c r="Z316" i="1"/>
  <c r="AA314" i="1"/>
  <c r="Z314" i="1"/>
  <c r="AA313" i="1"/>
  <c r="Z313" i="1"/>
  <c r="AA312" i="1"/>
  <c r="Z312" i="1"/>
  <c r="AA311" i="1"/>
  <c r="Z311" i="1"/>
  <c r="AA310" i="1"/>
  <c r="Z310" i="1"/>
  <c r="AA309" i="1"/>
  <c r="Z309" i="1"/>
  <c r="AA308" i="1"/>
  <c r="Z308" i="1"/>
  <c r="AA307" i="1"/>
  <c r="Z307" i="1"/>
  <c r="AA306" i="1"/>
  <c r="Z306" i="1"/>
  <c r="AA304" i="1"/>
  <c r="Z304" i="1"/>
  <c r="AA303" i="1"/>
  <c r="Z303" i="1"/>
  <c r="AA302" i="1"/>
  <c r="Z302" i="1"/>
  <c r="AA301" i="1"/>
  <c r="Z301" i="1"/>
  <c r="AA299" i="1"/>
  <c r="Z299" i="1"/>
  <c r="AA298" i="1"/>
  <c r="Z298" i="1"/>
  <c r="AA297" i="1"/>
  <c r="Z297" i="1"/>
  <c r="AA295" i="1"/>
  <c r="Z295" i="1"/>
  <c r="AA293" i="1"/>
  <c r="Z293" i="1"/>
  <c r="AA292" i="1"/>
  <c r="Z292" i="1"/>
  <c r="AA290" i="1"/>
  <c r="Z290" i="1"/>
  <c r="AA289" i="1"/>
  <c r="Z289" i="1"/>
  <c r="AA287" i="1"/>
  <c r="Z287" i="1"/>
  <c r="AA286" i="1"/>
  <c r="Z286" i="1"/>
  <c r="AA285" i="1"/>
  <c r="Z285" i="1"/>
  <c r="AA284" i="1"/>
  <c r="Z284" i="1"/>
  <c r="AA279" i="1"/>
  <c r="Z279" i="1"/>
  <c r="AA277" i="1"/>
  <c r="Z277" i="1"/>
  <c r="AA276" i="1"/>
  <c r="Z276" i="1"/>
  <c r="AA275" i="1"/>
  <c r="Z275" i="1"/>
  <c r="AA273" i="1"/>
  <c r="Z273" i="1"/>
  <c r="AA272" i="1"/>
  <c r="Z272" i="1"/>
  <c r="AA271" i="1"/>
  <c r="Z271" i="1"/>
  <c r="AA270" i="1"/>
  <c r="Z270" i="1"/>
  <c r="AA269" i="1"/>
  <c r="Z269" i="1"/>
  <c r="AA268" i="1"/>
  <c r="Z268" i="1"/>
  <c r="AA267" i="1"/>
  <c r="Z267" i="1"/>
  <c r="AA266" i="1"/>
  <c r="Z266" i="1"/>
  <c r="AA265" i="1"/>
  <c r="Z265" i="1"/>
  <c r="AA264" i="1"/>
  <c r="AA262" i="1"/>
  <c r="Z262" i="1"/>
  <c r="AA261" i="1"/>
  <c r="Z261" i="1"/>
  <c r="AA260" i="1"/>
  <c r="Z260" i="1"/>
  <c r="AA259" i="1"/>
  <c r="Z259" i="1"/>
  <c r="AA258" i="1"/>
  <c r="Z258" i="1"/>
  <c r="AA257" i="1"/>
  <c r="Z257" i="1"/>
  <c r="AA256" i="1"/>
  <c r="Z256" i="1"/>
  <c r="AA255" i="1"/>
  <c r="Z255" i="1"/>
  <c r="AA254" i="1"/>
  <c r="Z254" i="1"/>
  <c r="AA253" i="1"/>
  <c r="Z253" i="1"/>
  <c r="AA247" i="1"/>
  <c r="Z247" i="1"/>
  <c r="AA246" i="1"/>
  <c r="Z246" i="1"/>
  <c r="AA245" i="1"/>
  <c r="Z245" i="1"/>
  <c r="AA244" i="1"/>
  <c r="Z244" i="1"/>
  <c r="AA243" i="1"/>
  <c r="Z243" i="1"/>
  <c r="AA242" i="1"/>
  <c r="Z242" i="1"/>
  <c r="AA241" i="1"/>
  <c r="Z241" i="1"/>
  <c r="AA240" i="1"/>
  <c r="Z240" i="1"/>
  <c r="AA239" i="1"/>
  <c r="Z239" i="1"/>
  <c r="AA238" i="1"/>
  <c r="Z238" i="1"/>
  <c r="AA237" i="1"/>
  <c r="Z237" i="1"/>
  <c r="AA235" i="1"/>
  <c r="Z235" i="1"/>
  <c r="AA233" i="1"/>
  <c r="Z233" i="1"/>
  <c r="AA232" i="1"/>
  <c r="Z232" i="1"/>
  <c r="AA231" i="1"/>
  <c r="Z231" i="1"/>
  <c r="AA230" i="1"/>
  <c r="Z230" i="1"/>
  <c r="AA229" i="1"/>
  <c r="Z229" i="1"/>
  <c r="AA228" i="1"/>
  <c r="Z228" i="1"/>
  <c r="AA227" i="1"/>
  <c r="Z227" i="1"/>
  <c r="AA226" i="1"/>
  <c r="Z226" i="1"/>
  <c r="AA225" i="1"/>
  <c r="Z225" i="1"/>
  <c r="AA223" i="1"/>
  <c r="Z223" i="1"/>
  <c r="AA222" i="1"/>
  <c r="Z222" i="1"/>
  <c r="AA221" i="1"/>
  <c r="Z221" i="1"/>
  <c r="AA213" i="1"/>
  <c r="Z213" i="1"/>
  <c r="AA211" i="1"/>
  <c r="Z211" i="1"/>
  <c r="AA210" i="1"/>
  <c r="Z210" i="1"/>
  <c r="AA209" i="1"/>
  <c r="Z209" i="1"/>
  <c r="AA208" i="1"/>
  <c r="Z208" i="1"/>
  <c r="AA207" i="1"/>
  <c r="Z207" i="1"/>
  <c r="AA205" i="1"/>
  <c r="Z205" i="1"/>
  <c r="AA204" i="1"/>
  <c r="Z204" i="1"/>
  <c r="AA203" i="1"/>
  <c r="Z203" i="1"/>
  <c r="AA202" i="1"/>
  <c r="Z202" i="1"/>
  <c r="AA200" i="1"/>
  <c r="Z200" i="1"/>
  <c r="AA199" i="1"/>
  <c r="Z199" i="1"/>
  <c r="AA198" i="1"/>
  <c r="Z198" i="1"/>
  <c r="AA197" i="1"/>
  <c r="Z197" i="1"/>
  <c r="AA196" i="1"/>
  <c r="Z196" i="1"/>
  <c r="AA195" i="1"/>
  <c r="Z195" i="1"/>
  <c r="AA194" i="1"/>
  <c r="Z194" i="1"/>
  <c r="AA193" i="1"/>
  <c r="Z193" i="1"/>
  <c r="AA192" i="1"/>
  <c r="Z192" i="1"/>
  <c r="AA191" i="1"/>
  <c r="Z191" i="1"/>
  <c r="AA189" i="1"/>
  <c r="Z189" i="1"/>
  <c r="AA188" i="1"/>
  <c r="Z188" i="1"/>
  <c r="AA187" i="1"/>
  <c r="Z187" i="1"/>
  <c r="AA186" i="1"/>
  <c r="Z186" i="1"/>
  <c r="AA184" i="1"/>
  <c r="Z184" i="1"/>
  <c r="AA183" i="1"/>
  <c r="Z183" i="1"/>
  <c r="AA182" i="1"/>
  <c r="Z182" i="1"/>
  <c r="AA181" i="1"/>
  <c r="Z181" i="1"/>
  <c r="AA180" i="1"/>
  <c r="Z180" i="1"/>
  <c r="AA179" i="1"/>
  <c r="Z179" i="1"/>
  <c r="AA178" i="1"/>
  <c r="Z178" i="1"/>
  <c r="AA177" i="1"/>
  <c r="Z177" i="1"/>
  <c r="AA176" i="1"/>
  <c r="Z176" i="1"/>
  <c r="AA175" i="1"/>
  <c r="Z175" i="1"/>
  <c r="AA172" i="1"/>
  <c r="Z172" i="1"/>
  <c r="AA171" i="1"/>
  <c r="Z171" i="1"/>
  <c r="AA170" i="1"/>
  <c r="Z170" i="1"/>
  <c r="AA169" i="1"/>
  <c r="Z169" i="1"/>
  <c r="AA168" i="1"/>
  <c r="Z168" i="1"/>
  <c r="AA167" i="1"/>
  <c r="Z167" i="1"/>
  <c r="AA166" i="1"/>
  <c r="Z166" i="1"/>
  <c r="AA163" i="1"/>
  <c r="Z163" i="1"/>
  <c r="AA162" i="1"/>
  <c r="Z162" i="1"/>
  <c r="AA161" i="1"/>
  <c r="Z161" i="1"/>
  <c r="AA160" i="1"/>
  <c r="Z160" i="1"/>
  <c r="AA159" i="1"/>
  <c r="Z159" i="1"/>
  <c r="AA156" i="1"/>
  <c r="Z156" i="1"/>
  <c r="AA155" i="1"/>
  <c r="Z155" i="1"/>
  <c r="AA153" i="1"/>
  <c r="Z153" i="1"/>
  <c r="AA152" i="1"/>
  <c r="Z152" i="1"/>
  <c r="AA150" i="1"/>
  <c r="Z150" i="1"/>
  <c r="AA149" i="1"/>
  <c r="Z149" i="1"/>
  <c r="AA148" i="1"/>
  <c r="Z148" i="1"/>
  <c r="AA147" i="1"/>
  <c r="Z147" i="1"/>
  <c r="AA138" i="1"/>
  <c r="Z138" i="1"/>
  <c r="AA133" i="1"/>
  <c r="Z133" i="1"/>
  <c r="AA131" i="1"/>
  <c r="Z131" i="1"/>
  <c r="AA130" i="1"/>
  <c r="Z130" i="1"/>
  <c r="AA129" i="1"/>
  <c r="Z129" i="1"/>
  <c r="AA128" i="1"/>
  <c r="Z128" i="1"/>
  <c r="AA127" i="1"/>
  <c r="Z127" i="1"/>
  <c r="AA126" i="1"/>
  <c r="Z126" i="1"/>
  <c r="AA125" i="1"/>
  <c r="Z125" i="1"/>
  <c r="AA124" i="1"/>
  <c r="Z124" i="1"/>
  <c r="AA123" i="1"/>
  <c r="Z123" i="1"/>
  <c r="AA122" i="1"/>
  <c r="Z122" i="1"/>
  <c r="AA120" i="1"/>
  <c r="Z120" i="1"/>
  <c r="AA118" i="1"/>
  <c r="Z118" i="1"/>
  <c r="AA116" i="1"/>
  <c r="Z116" i="1"/>
  <c r="AA115" i="1"/>
  <c r="Z115" i="1"/>
  <c r="AA113" i="1"/>
  <c r="Z113" i="1"/>
  <c r="AA112" i="1"/>
  <c r="Z112" i="1"/>
  <c r="AA111" i="1"/>
  <c r="Z111" i="1"/>
  <c r="AA110" i="1"/>
  <c r="Z110" i="1"/>
  <c r="AA105" i="1"/>
  <c r="Z105" i="1"/>
  <c r="AA104" i="1"/>
  <c r="Z104" i="1"/>
  <c r="AA103" i="1"/>
  <c r="Z103" i="1"/>
  <c r="AA102" i="1"/>
  <c r="Z102" i="1"/>
  <c r="AA99" i="1"/>
  <c r="Z99" i="1"/>
  <c r="AA97" i="1"/>
  <c r="Z97" i="1"/>
  <c r="AA96" i="1"/>
  <c r="Z96" i="1"/>
  <c r="AA95" i="1"/>
  <c r="Z95" i="1"/>
  <c r="AA94" i="1"/>
  <c r="Z94" i="1"/>
  <c r="AA93" i="1"/>
  <c r="Z93" i="1"/>
  <c r="AA92" i="1"/>
  <c r="Z92" i="1"/>
  <c r="AA91" i="1"/>
  <c r="Z91" i="1"/>
  <c r="AA90" i="1"/>
  <c r="Z90" i="1"/>
  <c r="AA89" i="1"/>
  <c r="Z89" i="1"/>
  <c r="AA88" i="1"/>
  <c r="Z88" i="1"/>
  <c r="AA87" i="1"/>
  <c r="Z87" i="1"/>
  <c r="AA86" i="1"/>
  <c r="Z86" i="1"/>
  <c r="AA85" i="1"/>
  <c r="Z85" i="1"/>
  <c r="AA84" i="1"/>
  <c r="Z84" i="1"/>
  <c r="AA83" i="1"/>
  <c r="Z83" i="1"/>
  <c r="AA78" i="1"/>
  <c r="Z78" i="1"/>
  <c r="AA77" i="1"/>
  <c r="Z77" i="1"/>
  <c r="AA76" i="1"/>
  <c r="Z76" i="1"/>
  <c r="AA75" i="1"/>
  <c r="Z75" i="1"/>
  <c r="AA74" i="1"/>
  <c r="Z74" i="1"/>
  <c r="AA73" i="1"/>
  <c r="Z73" i="1"/>
  <c r="AA72" i="1"/>
  <c r="Z72" i="1"/>
  <c r="AA71" i="1"/>
  <c r="Z71" i="1"/>
  <c r="AA70" i="1"/>
  <c r="Z70" i="1"/>
  <c r="AA69" i="1"/>
  <c r="Z69" i="1"/>
  <c r="AA68" i="1"/>
  <c r="Z68" i="1"/>
  <c r="AA67" i="1"/>
  <c r="Z67" i="1"/>
  <c r="AA66" i="1"/>
  <c r="Z66" i="1"/>
  <c r="AA65" i="1"/>
  <c r="Z65" i="1"/>
  <c r="AA64" i="1"/>
  <c r="Z64" i="1"/>
  <c r="AA63" i="1"/>
  <c r="Z63" i="1"/>
  <c r="AA62" i="1"/>
  <c r="Z62" i="1"/>
  <c r="AA61" i="1"/>
  <c r="Z61" i="1"/>
  <c r="AA59" i="1"/>
  <c r="Z59" i="1"/>
  <c r="AA58" i="1"/>
  <c r="Z58" i="1"/>
  <c r="AA57" i="1"/>
  <c r="Z57" i="1"/>
  <c r="AA56" i="1"/>
  <c r="Z56" i="1"/>
  <c r="AA55" i="1"/>
  <c r="Z55" i="1"/>
  <c r="AA54" i="1"/>
  <c r="Z54" i="1"/>
  <c r="AA53" i="1"/>
  <c r="Z53" i="1"/>
  <c r="AA51" i="1"/>
  <c r="Z51" i="1"/>
  <c r="AA48" i="1"/>
  <c r="Z48" i="1"/>
  <c r="AA47" i="1"/>
  <c r="Z47" i="1"/>
  <c r="AA46" i="1"/>
  <c r="Z46" i="1"/>
  <c r="AA45" i="1"/>
  <c r="Z45" i="1"/>
  <c r="AA44" i="1"/>
  <c r="Z44" i="1"/>
  <c r="AA43" i="1"/>
  <c r="Z43" i="1"/>
  <c r="AA42" i="1"/>
  <c r="Z42" i="1"/>
  <c r="AA39" i="1"/>
  <c r="Z39" i="1"/>
  <c r="AA36" i="1"/>
  <c r="Z36" i="1"/>
  <c r="AA35" i="1"/>
  <c r="Z35" i="1"/>
  <c r="AA33" i="1"/>
  <c r="Z33" i="1"/>
  <c r="AA32" i="1"/>
  <c r="Z32" i="1"/>
  <c r="AA31" i="1"/>
  <c r="Z31" i="1"/>
  <c r="AA30" i="1"/>
  <c r="Z30" i="1"/>
  <c r="AA29" i="1"/>
  <c r="Z29" i="1"/>
  <c r="AA28" i="1"/>
  <c r="Z28" i="1"/>
  <c r="AA27" i="1"/>
  <c r="Z27" i="1"/>
  <c r="AA22" i="1"/>
  <c r="Z22" i="1"/>
  <c r="AA21" i="1"/>
  <c r="Z21" i="1"/>
  <c r="AA20" i="1"/>
  <c r="Z20" i="1"/>
  <c r="AA19" i="1"/>
  <c r="Z19" i="1"/>
  <c r="AA18" i="1"/>
  <c r="Z18" i="1"/>
  <c r="AA17" i="1"/>
  <c r="Z17" i="1"/>
  <c r="AA9" i="1"/>
  <c r="Z9" i="1"/>
  <c r="AA8" i="1"/>
  <c r="Z8" i="1"/>
  <c r="AA7" i="1"/>
  <c r="Z7" i="1"/>
  <c r="AA5" i="1"/>
  <c r="Z5" i="1"/>
  <c r="AA4" i="1"/>
  <c r="Z4" i="1"/>
  <c r="AA3" i="1"/>
  <c r="Z3" i="1"/>
  <c r="AC5" i="1" l="1"/>
  <c r="AC7" i="1"/>
</calcChain>
</file>

<file path=xl/sharedStrings.xml><?xml version="1.0" encoding="utf-8"?>
<sst xmlns="http://schemas.openxmlformats.org/spreadsheetml/2006/main" count="5812" uniqueCount="612">
  <si>
    <t>م</t>
  </si>
  <si>
    <t xml:space="preserve">اسم  المنطقة </t>
  </si>
  <si>
    <t xml:space="preserve">قرية / مدينة </t>
  </si>
  <si>
    <t>مصدر التغذية</t>
  </si>
  <si>
    <t>إسم المغذى</t>
  </si>
  <si>
    <t>اسم المحول</t>
  </si>
  <si>
    <t>عام / خاص</t>
  </si>
  <si>
    <t>نوعه</t>
  </si>
  <si>
    <t>تركيب المحول</t>
  </si>
  <si>
    <t xml:space="preserve">Tap المحول </t>
  </si>
  <si>
    <t>السعة ك ف أ</t>
  </si>
  <si>
    <t>T</t>
  </si>
  <si>
    <t>S</t>
  </si>
  <si>
    <t>R</t>
  </si>
  <si>
    <t>الحمل التصميمى</t>
  </si>
  <si>
    <t>متوسط الأحمال</t>
  </si>
  <si>
    <t>طول الكابل العمومى</t>
  </si>
  <si>
    <t>مساحة مقطعه</t>
  </si>
  <si>
    <t>جهد المحول الثانوى</t>
  </si>
  <si>
    <t>محطة المحولات</t>
  </si>
  <si>
    <t>لوحة التوزيع</t>
  </si>
  <si>
    <t>نسبة التحميل%</t>
  </si>
  <si>
    <t>عدد السورتيهات</t>
  </si>
  <si>
    <t>عام</t>
  </si>
  <si>
    <t>قاعدة</t>
  </si>
  <si>
    <t>كشك</t>
  </si>
  <si>
    <t>خاص</t>
  </si>
  <si>
    <t>معلق</t>
  </si>
  <si>
    <t>حجرة</t>
  </si>
  <si>
    <t>إجماليات</t>
  </si>
  <si>
    <t>إجمالى</t>
  </si>
  <si>
    <t>الإجمالى</t>
  </si>
  <si>
    <t>العدد</t>
  </si>
  <si>
    <t>السعة</t>
  </si>
  <si>
    <t xml:space="preserve"> بـــيــان عـــدد وســـــــــعـــــــــات الـــــمــــحــــولات (ك.ف.أ )................... هــــندســــة  </t>
  </si>
  <si>
    <t>مدينة كفرالشيخ</t>
  </si>
  <si>
    <t>مدينة</t>
  </si>
  <si>
    <t>كفرالشيخ</t>
  </si>
  <si>
    <t>شرق المدينة</t>
  </si>
  <si>
    <t>تدريب الأرز</t>
  </si>
  <si>
    <t>مساكن الرى</t>
  </si>
  <si>
    <t>3*400</t>
  </si>
  <si>
    <t>XLPE</t>
  </si>
  <si>
    <t>الشيشينى</t>
  </si>
  <si>
    <t>تنظيم الأسرة</t>
  </si>
  <si>
    <t>زهدي</t>
  </si>
  <si>
    <t>الثلاجة</t>
  </si>
  <si>
    <t>زهدى</t>
  </si>
  <si>
    <t>البترول الجديد</t>
  </si>
  <si>
    <t>السلخانة</t>
  </si>
  <si>
    <t>القانونيين ب</t>
  </si>
  <si>
    <t>البترول القديم</t>
  </si>
  <si>
    <t>المحرقة</t>
  </si>
  <si>
    <t>فينيسيا</t>
  </si>
  <si>
    <t>البحوث والنباتات</t>
  </si>
  <si>
    <t>مساكن السكة الحديد</t>
  </si>
  <si>
    <t>3*240</t>
  </si>
  <si>
    <t>الأطباء</t>
  </si>
  <si>
    <t>برج ايهاب شاهين</t>
  </si>
  <si>
    <t>سرايا الدولة</t>
  </si>
  <si>
    <t>اسكان شباب الأسرة</t>
  </si>
  <si>
    <t>المجلس</t>
  </si>
  <si>
    <t>الأحرار 1</t>
  </si>
  <si>
    <t>الأحرار 2</t>
  </si>
  <si>
    <t>المزلقان</t>
  </si>
  <si>
    <t>مزلقان شرق</t>
  </si>
  <si>
    <t>الجمهورية</t>
  </si>
  <si>
    <t>البندر القديم</t>
  </si>
  <si>
    <t>الثقافة القديم</t>
  </si>
  <si>
    <t>كفر الشيخ</t>
  </si>
  <si>
    <t>المحاربين 3(عند الحديثة)</t>
  </si>
  <si>
    <t>المحاربين 4(عند الحديثة)</t>
  </si>
  <si>
    <t>برج فينيسيا 1</t>
  </si>
  <si>
    <t>برج فينيسيا 2</t>
  </si>
  <si>
    <t>اتحاد الوفاء</t>
  </si>
  <si>
    <t>السنترال</t>
  </si>
  <si>
    <t>الشرق للتأمين 1</t>
  </si>
  <si>
    <t>الشرق للتأمين 2</t>
  </si>
  <si>
    <t>الشرق للتأمين ب</t>
  </si>
  <si>
    <t>التربية والتعليم</t>
  </si>
  <si>
    <t>برج الشرطة</t>
  </si>
  <si>
    <t>مديرية الكهرباء</t>
  </si>
  <si>
    <t>المساحة</t>
  </si>
  <si>
    <t>المعهد الدينى</t>
  </si>
  <si>
    <t>برج الدلتا</t>
  </si>
  <si>
    <t>الوابورات</t>
  </si>
  <si>
    <t>صنعاء1</t>
  </si>
  <si>
    <t>اسكان شباب الزراعة</t>
  </si>
  <si>
    <t>عمارات المهندسين</t>
  </si>
  <si>
    <t>فوزي الرفاعي</t>
  </si>
  <si>
    <t>فكري مبارك</t>
  </si>
  <si>
    <t>السلام</t>
  </si>
  <si>
    <t>المعلمات</t>
  </si>
  <si>
    <t>تقسيم2</t>
  </si>
  <si>
    <t>البيلى</t>
  </si>
  <si>
    <t>المهندسين الزراعيين</t>
  </si>
  <si>
    <t>برج ريحان</t>
  </si>
  <si>
    <t>اشرف عمر</t>
  </si>
  <si>
    <t>السكرتيرالعام</t>
  </si>
  <si>
    <t>السكرتير العام</t>
  </si>
  <si>
    <t>المركز</t>
  </si>
  <si>
    <t>الخفر</t>
  </si>
  <si>
    <t>اسكان المهندسين</t>
  </si>
  <si>
    <t>المستشفى</t>
  </si>
  <si>
    <t>الصدر</t>
  </si>
  <si>
    <t>نقابة المعلمين</t>
  </si>
  <si>
    <t>الدرينى</t>
  </si>
  <si>
    <t>المحلة</t>
  </si>
  <si>
    <t>مصباح</t>
  </si>
  <si>
    <t>الهدرجة</t>
  </si>
  <si>
    <t>المساكن</t>
  </si>
  <si>
    <t>الأوقاف الجديدة</t>
  </si>
  <si>
    <t>زهور1(م.شاذلي)</t>
  </si>
  <si>
    <t>زهور2(بجوار الصيدلية)</t>
  </si>
  <si>
    <t>زهور3(بجوار الفندق)</t>
  </si>
  <si>
    <t>زهور4(خلف الزهور)</t>
  </si>
  <si>
    <t>ميت علوان</t>
  </si>
  <si>
    <t>تقسيم الأوقاف</t>
  </si>
  <si>
    <t>دراز</t>
  </si>
  <si>
    <t>تقسيم الأوقاف 1</t>
  </si>
  <si>
    <t>لم يتم بناء التقسيم</t>
  </si>
  <si>
    <t>تقسيم الأوقاف 2</t>
  </si>
  <si>
    <t>القنطرة</t>
  </si>
  <si>
    <t>المدرسة بالقنطرة</t>
  </si>
  <si>
    <t>القنطرة القديم</t>
  </si>
  <si>
    <t>الصوالحة الجديد</t>
  </si>
  <si>
    <t>الصوالحة القديم</t>
  </si>
  <si>
    <t>سور المحطة</t>
  </si>
  <si>
    <t>اللؤلؤة</t>
  </si>
  <si>
    <t>بسطويسي</t>
  </si>
  <si>
    <t>فوزان</t>
  </si>
  <si>
    <t>الحويني</t>
  </si>
  <si>
    <t>الخلفي</t>
  </si>
  <si>
    <t>طارق سراج</t>
  </si>
  <si>
    <t>السعدي</t>
  </si>
  <si>
    <t>محمد يونس هيبة</t>
  </si>
  <si>
    <t>جلبان 1</t>
  </si>
  <si>
    <t>جلبان 2</t>
  </si>
  <si>
    <t>الفكرية</t>
  </si>
  <si>
    <t>3*300</t>
  </si>
  <si>
    <t>سيدى جمال</t>
  </si>
  <si>
    <t>شهاب الدين</t>
  </si>
  <si>
    <t>زراعة ميت علوان</t>
  </si>
  <si>
    <t>الأزهر</t>
  </si>
  <si>
    <t>الرمد القديم</t>
  </si>
  <si>
    <t>الشرطة</t>
  </si>
  <si>
    <t>الشرطة 1</t>
  </si>
  <si>
    <t>الشرطة 2</t>
  </si>
  <si>
    <t>العاملين بالمحافظة</t>
  </si>
  <si>
    <t>المحاسبين</t>
  </si>
  <si>
    <t>النيابة العامة1(عند نابولي)</t>
  </si>
  <si>
    <t>النيابة العامة2(عند زيدان)</t>
  </si>
  <si>
    <t>زيدان</t>
  </si>
  <si>
    <t>عمرو بن العاص</t>
  </si>
  <si>
    <t>هنداوي</t>
  </si>
  <si>
    <t>عمارة الكوثر ب</t>
  </si>
  <si>
    <t>علي بن ابي طالب أ</t>
  </si>
  <si>
    <t>الفرقان</t>
  </si>
  <si>
    <t>علي بن ابي طالب ب</t>
  </si>
  <si>
    <t>عمارة الأوقاف 1</t>
  </si>
  <si>
    <t>عمارة الكوثر أ</t>
  </si>
  <si>
    <t>الحرية</t>
  </si>
  <si>
    <t>مول الحرية 1</t>
  </si>
  <si>
    <t>مول الحرية 2</t>
  </si>
  <si>
    <t>النيابة الادارية</t>
  </si>
  <si>
    <t>الضرائب</t>
  </si>
  <si>
    <t>قضايا الدولة</t>
  </si>
  <si>
    <t>قضايا الدولة 2</t>
  </si>
  <si>
    <t>القانونيين أ</t>
  </si>
  <si>
    <t>الأطباء ب</t>
  </si>
  <si>
    <t>السيارات</t>
  </si>
  <si>
    <t>الفردوس</t>
  </si>
  <si>
    <t>سور المحولات</t>
  </si>
  <si>
    <t>التوبة</t>
  </si>
  <si>
    <t>النادى</t>
  </si>
  <si>
    <t>المعمل</t>
  </si>
  <si>
    <t>الموزع</t>
  </si>
  <si>
    <t>بدوى</t>
  </si>
  <si>
    <t>الخبراء</t>
  </si>
  <si>
    <t>شرابي</t>
  </si>
  <si>
    <t>خبراء 1</t>
  </si>
  <si>
    <t>خبراء 2</t>
  </si>
  <si>
    <t>الكناريا</t>
  </si>
  <si>
    <t>الشيخة زهرة</t>
  </si>
  <si>
    <t>المناسبات</t>
  </si>
  <si>
    <t>الخياط</t>
  </si>
  <si>
    <t>مساكن الغزل</t>
  </si>
  <si>
    <t>47 عمارة1</t>
  </si>
  <si>
    <t>الحساينة</t>
  </si>
  <si>
    <t>غزل2</t>
  </si>
  <si>
    <t>الدمرداش</t>
  </si>
  <si>
    <t>المجاري</t>
  </si>
  <si>
    <t>الاعدادية</t>
  </si>
  <si>
    <t>الحضانة</t>
  </si>
  <si>
    <t>اللوكس</t>
  </si>
  <si>
    <t>بنك ناصر</t>
  </si>
  <si>
    <t>برج الخليفة</t>
  </si>
  <si>
    <t>برج بلازا</t>
  </si>
  <si>
    <t>الاسراء</t>
  </si>
  <si>
    <t>الدستور الجديد</t>
  </si>
  <si>
    <t>النور</t>
  </si>
  <si>
    <t>الهدى</t>
  </si>
  <si>
    <t>عمارة 7</t>
  </si>
  <si>
    <t>عمارة 2</t>
  </si>
  <si>
    <t>عمارات الأوقاف</t>
  </si>
  <si>
    <t>عمارة 5</t>
  </si>
  <si>
    <t>عمارة 6</t>
  </si>
  <si>
    <t>الدستور</t>
  </si>
  <si>
    <t>الكوثر</t>
  </si>
  <si>
    <t>عمارة 4</t>
  </si>
  <si>
    <t>عمارة 3</t>
  </si>
  <si>
    <t>الدراسات</t>
  </si>
  <si>
    <t>محافظة جديد</t>
  </si>
  <si>
    <t>ابو العزم</t>
  </si>
  <si>
    <t>أبو العزم</t>
  </si>
  <si>
    <t>تجاريين 1</t>
  </si>
  <si>
    <t>تقسيم القضاة</t>
  </si>
  <si>
    <t>تجاريين 2</t>
  </si>
  <si>
    <t>العاملين بالأوقاف(زنطور)</t>
  </si>
  <si>
    <t>برج الزراعيين</t>
  </si>
  <si>
    <t>47 عمارة</t>
  </si>
  <si>
    <t>47 عمارة 4</t>
  </si>
  <si>
    <t>47 عمارة 3</t>
  </si>
  <si>
    <t>47 عمارة 2</t>
  </si>
  <si>
    <t>الشراكية</t>
  </si>
  <si>
    <t>الزهيرى</t>
  </si>
  <si>
    <t>نعمة الله</t>
  </si>
  <si>
    <t>غرب المدينة</t>
  </si>
  <si>
    <t>المضارب</t>
  </si>
  <si>
    <t>برج سبأ</t>
  </si>
  <si>
    <t>الأهرام</t>
  </si>
  <si>
    <t>الحرم</t>
  </si>
  <si>
    <t>مكة</t>
  </si>
  <si>
    <t>الاعمار</t>
  </si>
  <si>
    <t>المهندسين</t>
  </si>
  <si>
    <t>الجندي</t>
  </si>
  <si>
    <t>الخبراء(ب -1)</t>
  </si>
  <si>
    <t>المستشفى العسكري</t>
  </si>
  <si>
    <t>الزهراء</t>
  </si>
  <si>
    <t>فريد ندا</t>
  </si>
  <si>
    <t>هدى شعراوى</t>
  </si>
  <si>
    <t>زين العابدين</t>
  </si>
  <si>
    <t>زين العابدين 1</t>
  </si>
  <si>
    <t>زين العابدين 2</t>
  </si>
  <si>
    <t>زين العابدين 3</t>
  </si>
  <si>
    <t>زين العابدين 4</t>
  </si>
  <si>
    <t>زين العابدين 5</t>
  </si>
  <si>
    <t>ناصر السماحى</t>
  </si>
  <si>
    <t>المؤتمر العمالى 1</t>
  </si>
  <si>
    <t>ناصر القديم</t>
  </si>
  <si>
    <t>سور الصنايع</t>
  </si>
  <si>
    <t>ميدان اسكندرية</t>
  </si>
  <si>
    <t>المؤتمر العمالى2</t>
  </si>
  <si>
    <t>محمود خليل</t>
  </si>
  <si>
    <t>الصيادلة</t>
  </si>
  <si>
    <t>اشواق</t>
  </si>
  <si>
    <t>النجار</t>
  </si>
  <si>
    <t>العباسي</t>
  </si>
  <si>
    <t>تقسيم 4</t>
  </si>
  <si>
    <t>البذرة</t>
  </si>
  <si>
    <t>خوري</t>
  </si>
  <si>
    <t>خورى</t>
  </si>
  <si>
    <t>الشرعية</t>
  </si>
  <si>
    <t>القلل</t>
  </si>
  <si>
    <t>رشدى</t>
  </si>
  <si>
    <t>مزلقان غرب</t>
  </si>
  <si>
    <t>الفلاحين</t>
  </si>
  <si>
    <t>النواصرة</t>
  </si>
  <si>
    <t>اغا</t>
  </si>
  <si>
    <t>الفالوجا 1</t>
  </si>
  <si>
    <t>الفالوجا 2</t>
  </si>
  <si>
    <t>الشيخ اللبان</t>
  </si>
  <si>
    <t>صيانة 1</t>
  </si>
  <si>
    <t>صيانة 2</t>
  </si>
  <si>
    <t>المستوقد</t>
  </si>
  <si>
    <t>سيدى طلحة</t>
  </si>
  <si>
    <t>الوفاء الجديد</t>
  </si>
  <si>
    <t>الوفاء القديم</t>
  </si>
  <si>
    <t>التيسير</t>
  </si>
  <si>
    <t>منشأة ناصر</t>
  </si>
  <si>
    <t>ناصر البحرية</t>
  </si>
  <si>
    <t>تقسيم المساحة</t>
  </si>
  <si>
    <t>ناصر الترعة</t>
  </si>
  <si>
    <t>برج الحمد</t>
  </si>
  <si>
    <t>مصطفى حسن</t>
  </si>
  <si>
    <t>برج الاخلاص</t>
  </si>
  <si>
    <t>عاطف عبد الجيد</t>
  </si>
  <si>
    <t>النقل</t>
  </si>
  <si>
    <t>المحاربين1(عند المطحن)</t>
  </si>
  <si>
    <t>المحاربين2(عند المطحن)</t>
  </si>
  <si>
    <t>المحافظة القديم</t>
  </si>
  <si>
    <t>طريق أريمون</t>
  </si>
  <si>
    <t>كهربة الريف</t>
  </si>
  <si>
    <t>الدلتا للسكر</t>
  </si>
  <si>
    <t>الدلتا للسكر 1</t>
  </si>
  <si>
    <t>الدلتا للسكر 2</t>
  </si>
  <si>
    <t>مجاري 4</t>
  </si>
  <si>
    <t>أباظة</t>
  </si>
  <si>
    <t>ساحة سيدى طلحة</t>
  </si>
  <si>
    <t>معوض القديم</t>
  </si>
  <si>
    <t>معوض الجديد</t>
  </si>
  <si>
    <t>المطاحن</t>
  </si>
  <si>
    <t>السرجة</t>
  </si>
  <si>
    <t>دراسات 1</t>
  </si>
  <si>
    <t>دراسات 2</t>
  </si>
  <si>
    <t>دراسات 3</t>
  </si>
  <si>
    <t>الاوقاف</t>
  </si>
  <si>
    <t>برج 1</t>
  </si>
  <si>
    <t>برج 2</t>
  </si>
  <si>
    <t>برج 3</t>
  </si>
  <si>
    <t>برج 4</t>
  </si>
  <si>
    <t>برج 5</t>
  </si>
  <si>
    <t>برج 6</t>
  </si>
  <si>
    <t>الصفا</t>
  </si>
  <si>
    <t>برج 7</t>
  </si>
  <si>
    <t>برج 8</t>
  </si>
  <si>
    <t>برج 9</t>
  </si>
  <si>
    <t>كشك 3 أوقاف</t>
  </si>
  <si>
    <t>كشك 1 أوقاف</t>
  </si>
  <si>
    <t>كشك 2 أوقاف</t>
  </si>
  <si>
    <t>يوسف اللقاني</t>
  </si>
  <si>
    <t>الرحمة الجديد</t>
  </si>
  <si>
    <t>الأشوح</t>
  </si>
  <si>
    <t>السلطان حسين</t>
  </si>
  <si>
    <t xml:space="preserve">العزبة الجديدة </t>
  </si>
  <si>
    <t>الثلاجة الجديد</t>
  </si>
  <si>
    <t>كشك 4 أوقاف</t>
  </si>
  <si>
    <t>كشك 5 أوقاف</t>
  </si>
  <si>
    <t>كشك 6 أوقاف</t>
  </si>
  <si>
    <t>كشك 7 أوقاف</t>
  </si>
  <si>
    <t>كشك 8 أوقاف</t>
  </si>
  <si>
    <t>المروة</t>
  </si>
  <si>
    <t>كشك 9 أوقاف</t>
  </si>
  <si>
    <t>برج 10</t>
  </si>
  <si>
    <t>برج 11</t>
  </si>
  <si>
    <t>الرحمة</t>
  </si>
  <si>
    <t>سمارة</t>
  </si>
  <si>
    <t>يوسف حمام</t>
  </si>
  <si>
    <t>المدينة التجارية</t>
  </si>
  <si>
    <t>الرحمة القديم</t>
  </si>
  <si>
    <t>الابراهيمية</t>
  </si>
  <si>
    <t>الحكمة</t>
  </si>
  <si>
    <t>المجاير</t>
  </si>
  <si>
    <t>القطن</t>
  </si>
  <si>
    <t>تحيا مصر 1</t>
  </si>
  <si>
    <t>تحيا مصر 2</t>
  </si>
  <si>
    <t>تحيا مصر 3</t>
  </si>
  <si>
    <t>تحيا مصر 4</t>
  </si>
  <si>
    <t>تحيا مصر 5</t>
  </si>
  <si>
    <t>الايواء</t>
  </si>
  <si>
    <t>الايواء 2</t>
  </si>
  <si>
    <t>سخا</t>
  </si>
  <si>
    <t>المدرسة</t>
  </si>
  <si>
    <t>المدرسة بسخا</t>
  </si>
  <si>
    <t>عطيات</t>
  </si>
  <si>
    <t>سمير عبد اللطيف</t>
  </si>
  <si>
    <t>التفتيش</t>
  </si>
  <si>
    <t>الصفارة</t>
  </si>
  <si>
    <t>برج د</t>
  </si>
  <si>
    <t>برج ج</t>
  </si>
  <si>
    <t>برج (6-د)</t>
  </si>
  <si>
    <t>برج (7-د)</t>
  </si>
  <si>
    <t>الكنيسة</t>
  </si>
  <si>
    <t>السقا</t>
  </si>
  <si>
    <t>حى الشهداء</t>
  </si>
  <si>
    <t>الجبانة</t>
  </si>
  <si>
    <t>عامر</t>
  </si>
  <si>
    <t>تحسين جهد حى الشهداء</t>
  </si>
  <si>
    <t xml:space="preserve">الجامع </t>
  </si>
  <si>
    <t>الجامع</t>
  </si>
  <si>
    <t>الجحور</t>
  </si>
  <si>
    <t>البحوث</t>
  </si>
  <si>
    <t>بحوث 1</t>
  </si>
  <si>
    <t>بحوث 2</t>
  </si>
  <si>
    <t>مركز مبارك</t>
  </si>
  <si>
    <t>مبارك</t>
  </si>
  <si>
    <t>ابراج مكة</t>
  </si>
  <si>
    <t>مكة 1</t>
  </si>
  <si>
    <t>مكة 2</t>
  </si>
  <si>
    <t>أرض المصنع</t>
  </si>
  <si>
    <t>المحافظة الجديد 1</t>
  </si>
  <si>
    <t>برج (1- أ)</t>
  </si>
  <si>
    <t>برج ( 1- ب)</t>
  </si>
  <si>
    <t>برج (1- ج)</t>
  </si>
  <si>
    <t>المحافظة الجديد 2</t>
  </si>
  <si>
    <t>برج ( 1- د)</t>
  </si>
  <si>
    <t>برج (1- هـ)</t>
  </si>
  <si>
    <t>الجبالي 1</t>
  </si>
  <si>
    <t>جبالي 3</t>
  </si>
  <si>
    <t>الجبالي 2</t>
  </si>
  <si>
    <t>جبالي 1</t>
  </si>
  <si>
    <t>جبالي 2</t>
  </si>
  <si>
    <t>المصنع 1</t>
  </si>
  <si>
    <t>المصنع 2</t>
  </si>
  <si>
    <t>برج 12</t>
  </si>
  <si>
    <t>برج 13</t>
  </si>
  <si>
    <t>برج 14</t>
  </si>
  <si>
    <t>تحسين المحاصيل</t>
  </si>
  <si>
    <t>ذرة شامية</t>
  </si>
  <si>
    <t>ميكانيكا وكهرباء</t>
  </si>
  <si>
    <t>مديرية الأمن</t>
  </si>
  <si>
    <t>عمر أفندي</t>
  </si>
  <si>
    <t>مجلس الدولة</t>
  </si>
  <si>
    <t>التأمينات</t>
  </si>
  <si>
    <t>الثقافة الجديد</t>
  </si>
  <si>
    <t>بنك التنمية</t>
  </si>
  <si>
    <t>البنك الأهلي</t>
  </si>
  <si>
    <t>بنك القاهرة</t>
  </si>
  <si>
    <t>بنك مصر</t>
  </si>
  <si>
    <t>السنترال 1</t>
  </si>
  <si>
    <t>المحكمة</t>
  </si>
  <si>
    <t>التشييد والبناء 1</t>
  </si>
  <si>
    <t>التشييد والبناء 2</t>
  </si>
  <si>
    <t>شيل اوت</t>
  </si>
  <si>
    <t>صنعاء 2</t>
  </si>
  <si>
    <t>المتحف الروماني</t>
  </si>
  <si>
    <t>مدرسة الزراعة</t>
  </si>
  <si>
    <t>الصنايع بنات</t>
  </si>
  <si>
    <t>التليميتر</t>
  </si>
  <si>
    <t>الطب البيطري 1</t>
  </si>
  <si>
    <t>الطب البيطري 2</t>
  </si>
  <si>
    <t>كلية التربية</t>
  </si>
  <si>
    <t>الخدمات الطلابية</t>
  </si>
  <si>
    <t>مجاري (6-1)</t>
  </si>
  <si>
    <t>مجاري (6-2)</t>
  </si>
  <si>
    <t>نقابة المهندسين</t>
  </si>
  <si>
    <t>العلف</t>
  </si>
  <si>
    <t>مستشفى الصدر</t>
  </si>
  <si>
    <t>مستشفى الحميات</t>
  </si>
  <si>
    <t>ادارة المياه</t>
  </si>
  <si>
    <t>الصالة المغطاة</t>
  </si>
  <si>
    <t>حمام السباحة</t>
  </si>
  <si>
    <t>الكروكيه</t>
  </si>
  <si>
    <t>عمال المياه</t>
  </si>
  <si>
    <t>الرصف</t>
  </si>
  <si>
    <t>الغاز</t>
  </si>
  <si>
    <t>نادي الشرطة</t>
  </si>
  <si>
    <t>المياه العكره</t>
  </si>
  <si>
    <t>عبور 1</t>
  </si>
  <si>
    <t>عبور 2</t>
  </si>
  <si>
    <t>مياه 1</t>
  </si>
  <si>
    <t>مياه 2</t>
  </si>
  <si>
    <t>مجاري ( 9-1 )</t>
  </si>
  <si>
    <t>مجاري ( 9-2 )</t>
  </si>
  <si>
    <t>الشريف</t>
  </si>
  <si>
    <t>مجاري (3-1)</t>
  </si>
  <si>
    <t>مجاري (3-2)</t>
  </si>
  <si>
    <t>بنك الدم</t>
  </si>
  <si>
    <t>مديرية الصحة</t>
  </si>
  <si>
    <t>الرمد الجديد</t>
  </si>
  <si>
    <t>الرقابة الادارية</t>
  </si>
  <si>
    <t>الكبد</t>
  </si>
  <si>
    <t>المتفوقين</t>
  </si>
  <si>
    <t>مجاري (1-1)</t>
  </si>
  <si>
    <t>مجاري (1-2)</t>
  </si>
  <si>
    <t>المستشفى 1</t>
  </si>
  <si>
    <t>المستشفى 2</t>
  </si>
  <si>
    <t>التدريب الحرفي</t>
  </si>
  <si>
    <t>طنطا سكان</t>
  </si>
  <si>
    <t>العاملين بالأوقاف 2</t>
  </si>
  <si>
    <t>مجاري (8-1)</t>
  </si>
  <si>
    <t>مجاري (8-2)</t>
  </si>
  <si>
    <t>مضرب 1</t>
  </si>
  <si>
    <t>مضرب2</t>
  </si>
  <si>
    <t>الادوية (سينا فارم)</t>
  </si>
  <si>
    <t>القوات المسلحة</t>
  </si>
  <si>
    <t>الأورام</t>
  </si>
  <si>
    <t>الجامعة العمالية</t>
  </si>
  <si>
    <t>مستشفى الفتح</t>
  </si>
  <si>
    <t>كلية الدراسات</t>
  </si>
  <si>
    <t>المسرح المدرسي</t>
  </si>
  <si>
    <t>صنايع 3 سنوات</t>
  </si>
  <si>
    <t>صنايع 5</t>
  </si>
  <si>
    <t>سكة حديد</t>
  </si>
  <si>
    <t>فندقية 1</t>
  </si>
  <si>
    <t>فندقية 2</t>
  </si>
  <si>
    <t>الزخرفية</t>
  </si>
  <si>
    <t>الاتوبيس</t>
  </si>
  <si>
    <t>مجاري (4-1)</t>
  </si>
  <si>
    <t>مجاري (4-2)</t>
  </si>
  <si>
    <t>المطحن</t>
  </si>
  <si>
    <t>الصومعة</t>
  </si>
  <si>
    <t>مجاري (5-1)</t>
  </si>
  <si>
    <t>مجاري (5-2)</t>
  </si>
  <si>
    <t>مصنع الثلج</t>
  </si>
  <si>
    <t>المكرونة</t>
  </si>
  <si>
    <t>سوق الجملة</t>
  </si>
  <si>
    <t>الغربلة الجديد</t>
  </si>
  <si>
    <t>مجاري جديد 1</t>
  </si>
  <si>
    <t>مجاري قديم</t>
  </si>
  <si>
    <t>الاحوال المدنية</t>
  </si>
  <si>
    <t>السكة الحديد</t>
  </si>
  <si>
    <t>مجاري (7-1)</t>
  </si>
  <si>
    <t>مجاري (7-2)</t>
  </si>
  <si>
    <t>معادن 1</t>
  </si>
  <si>
    <t>معادن 2</t>
  </si>
  <si>
    <t>كلية الهندسة</t>
  </si>
  <si>
    <t>نادي سخا</t>
  </si>
  <si>
    <t>تحسين الاراضي</t>
  </si>
  <si>
    <t>تحسين الأراضي</t>
  </si>
  <si>
    <t>الدواجن</t>
  </si>
  <si>
    <t>المقاولون العرب</t>
  </si>
  <si>
    <t>التربية الحيوانية</t>
  </si>
  <si>
    <t>الغربلة القديم</t>
  </si>
  <si>
    <t>بحوث القطن</t>
  </si>
  <si>
    <t>السائل المنوي</t>
  </si>
  <si>
    <t>البحوث القديم</t>
  </si>
  <si>
    <t>المحلج</t>
  </si>
  <si>
    <t>محلج 1</t>
  </si>
  <si>
    <t>محلج 2</t>
  </si>
  <si>
    <t>صرف 1</t>
  </si>
  <si>
    <t>صرف 2</t>
  </si>
  <si>
    <t>الجامعة</t>
  </si>
  <si>
    <t>التربية النوعية</t>
  </si>
  <si>
    <t>ادارة الجامعة ت 3</t>
  </si>
  <si>
    <t>ادارة الجامعة ن 2</t>
  </si>
  <si>
    <t>كلية الزراعة</t>
  </si>
  <si>
    <t>الخدمات المجتمعية</t>
  </si>
  <si>
    <t>الثروة السمكية</t>
  </si>
  <si>
    <t>الصيدلة</t>
  </si>
  <si>
    <t>التمريض</t>
  </si>
  <si>
    <t>الاداب</t>
  </si>
  <si>
    <t>التجارة</t>
  </si>
  <si>
    <t>الطب البشري</t>
  </si>
  <si>
    <t>طب الاسنان</t>
  </si>
  <si>
    <t>التربية الرياضية</t>
  </si>
  <si>
    <t>الذكاء الاصطناعي انارة</t>
  </si>
  <si>
    <t>الذكاء الاصطناعي تكييف</t>
  </si>
  <si>
    <t>معامل الزراعة</t>
  </si>
  <si>
    <t>كلية الحقوق</t>
  </si>
  <si>
    <t>المستشفى 3</t>
  </si>
  <si>
    <t>الخزان الارضي</t>
  </si>
  <si>
    <t>المدرجات المركزية</t>
  </si>
  <si>
    <t>الأورام 1</t>
  </si>
  <si>
    <t>الأورام 2</t>
  </si>
  <si>
    <t>النانو</t>
  </si>
  <si>
    <t>كلية العلاج الطبيعي</t>
  </si>
  <si>
    <t>كلية العلوم</t>
  </si>
  <si>
    <t>ادارة الجامعة</t>
  </si>
  <si>
    <t>الحاسبات والمعلومات</t>
  </si>
  <si>
    <t>ورش هندسة</t>
  </si>
  <si>
    <t>مستشفى الطوارئ 1</t>
  </si>
  <si>
    <t>مستشفى الطوارئ 2</t>
  </si>
  <si>
    <t>الأورام 3</t>
  </si>
  <si>
    <t>برج التحرير (أشرف حماد)</t>
  </si>
  <si>
    <t>برج عابوه</t>
  </si>
  <si>
    <t>برج الدريني</t>
  </si>
  <si>
    <t>برج الحرفيين1 (البداية)</t>
  </si>
  <si>
    <t>مفصول عنه التيار</t>
  </si>
  <si>
    <t>أحمد عبد الغني (بدير عيسى)</t>
  </si>
  <si>
    <t>طريق دسوق</t>
  </si>
  <si>
    <t>المحلج 1</t>
  </si>
  <si>
    <t>المحلج 2</t>
  </si>
  <si>
    <t xml:space="preserve">مصطفى رجب </t>
  </si>
  <si>
    <t>أرض المصنع جديد 1</t>
  </si>
  <si>
    <t>أرض المصنع جديد 2</t>
  </si>
  <si>
    <t>عمارات الثلاجة</t>
  </si>
  <si>
    <t>برج الفردوس</t>
  </si>
  <si>
    <t>التجاريين (عمر هيبة)</t>
  </si>
  <si>
    <t>خدمات الشرطة الطبية</t>
  </si>
  <si>
    <t>مدرسة بايونير</t>
  </si>
  <si>
    <t>الفكرية 2</t>
  </si>
  <si>
    <t>معامل كلية الزراعة</t>
  </si>
  <si>
    <t>مستشفى النخبة</t>
  </si>
  <si>
    <t>.</t>
  </si>
  <si>
    <t>جامعة 1</t>
  </si>
  <si>
    <t>جامعة 2</t>
  </si>
  <si>
    <t>جامعه 3</t>
  </si>
  <si>
    <t>عمارات الري مجلس المدينة (خلف المحكمة)</t>
  </si>
  <si>
    <t xml:space="preserve">عمارات سخا </t>
  </si>
  <si>
    <t>عمارات سخا1</t>
  </si>
  <si>
    <t>N</t>
  </si>
  <si>
    <t>برج بحري</t>
  </si>
  <si>
    <t>ماكو</t>
  </si>
  <si>
    <t>سيتي 1</t>
  </si>
  <si>
    <t>سيتي 2</t>
  </si>
  <si>
    <t>سيتي 3</t>
  </si>
  <si>
    <t>فندق الشباب والرياضة</t>
  </si>
  <si>
    <t>البريد</t>
  </si>
  <si>
    <t>تداوي</t>
  </si>
  <si>
    <t>المحافظة</t>
  </si>
  <si>
    <t>الغزل قديم</t>
  </si>
  <si>
    <t>قوات الأمن</t>
  </si>
  <si>
    <t>قوات الأمن2</t>
  </si>
  <si>
    <t>برج المرجان</t>
  </si>
  <si>
    <t>غزل 1</t>
  </si>
  <si>
    <t>برج الماسة</t>
  </si>
  <si>
    <t>ابراج البحوث 1</t>
  </si>
  <si>
    <t>ابراج البحوث 2</t>
  </si>
  <si>
    <t>المصري</t>
  </si>
  <si>
    <t>سنة الصنع</t>
  </si>
  <si>
    <t>ABB</t>
  </si>
  <si>
    <t>روسي</t>
  </si>
  <si>
    <t>EGY TRAFO</t>
  </si>
  <si>
    <t>ELTA (بولندي)</t>
  </si>
  <si>
    <t>يوغسلافي</t>
  </si>
  <si>
    <t>MATELEC</t>
  </si>
  <si>
    <t>HOLEC (هولندي)</t>
  </si>
  <si>
    <t>روماني</t>
  </si>
  <si>
    <t>بولندي (MEFTA)</t>
  </si>
  <si>
    <t xml:space="preserve">الأرز </t>
  </si>
  <si>
    <t>تقسيم سامية ونجاح 1</t>
  </si>
  <si>
    <t>تقسيم سامية ونجاح2</t>
  </si>
  <si>
    <t xml:space="preserve">محمد الأحول </t>
  </si>
  <si>
    <t>ماسة 1</t>
  </si>
  <si>
    <t>الماسة 1</t>
  </si>
  <si>
    <t>الماسة 2</t>
  </si>
  <si>
    <t>ماسة2</t>
  </si>
  <si>
    <t>ماسة3</t>
  </si>
  <si>
    <t>ماسة4</t>
  </si>
  <si>
    <t>ماسة5</t>
  </si>
  <si>
    <t>ماتريكس (لوجستية 1)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</si>
</sst>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fonts count="27" x14ac:knownFonts="1">
    <font>
      <sz val="11"/>
      <color theme="1"/>
      <name val="Calibri"/>
      <family val="2"/>
      <charset val="178"/>
      <scheme val="minor"/>
    </font>
    <font>
      <sz val="10"/>
      <name val="Times New Roman"/>
      <family val="1"/>
    </font>
    <font>
      <b/>
      <sz val="10"/>
      <name val="Times New Roman"/>
      <family val="1"/>
    </font>
    <font>
      <b/>
      <sz val="11"/>
      <name val="Times New Roman"/>
      <family val="1"/>
    </font>
    <font>
      <b/>
      <sz val="12"/>
      <name val="Times New Roman"/>
      <family val="1"/>
    </font>
    <font>
      <b/>
      <sz val="12"/>
      <color theme="1"/>
      <name val="Calibri"/>
      <family val="2"/>
      <scheme val="minor"/>
    </font>
    <font>
      <b/>
      <sz val="12"/>
      <color indexed="10"/>
      <name val="Times New Roman"/>
      <family val="1"/>
    </font>
    <font>
      <b/>
      <sz val="12"/>
      <name val="Arial"/>
      <family val="2"/>
    </font>
    <font>
      <b/>
      <i/>
      <sz val="18"/>
      <name val="Times New Roman"/>
      <family val="1"/>
    </font>
    <font>
      <b/>
      <sz val="11"/>
      <color theme="1"/>
      <name val="Calibri"/>
      <family val="2"/>
      <scheme val="minor"/>
    </font>
    <font>
      <b/>
      <sz val="11"/>
      <name val="Arial"/>
      <family val="2"/>
    </font>
    <font>
      <b/>
      <sz val="12"/>
      <color rgb="FF000000"/>
      <name val="Calibri"/>
      <family val="2"/>
    </font>
    <font>
      <b/>
      <sz val="11"/>
      <color theme="4" tint="-0.249977111117893"/>
      <name val="Calibri"/>
      <family val="2"/>
      <scheme val="minor"/>
    </font>
    <font>
      <b/>
      <sz val="11"/>
      <color rgb="FF000000"/>
      <name val="Calibri"/>
      <family val="2"/>
    </font>
    <font>
      <b/>
      <sz val="14"/>
      <color theme="1"/>
      <name val="Calibri"/>
      <family val="2"/>
      <scheme val="minor"/>
    </font>
    <font>
      <b/>
      <sz val="11"/>
      <color indexed="10"/>
      <name val="Times New Roman"/>
      <family val="1"/>
    </font>
    <font>
      <b/>
      <sz val="11"/>
      <color theme="8" tint="-0.249977111117893"/>
      <name val="Times New Roman"/>
      <family val="1"/>
    </font>
    <font>
      <b/>
      <sz val="11"/>
      <color theme="8" tint="-0.249977111117893"/>
      <name val="Calibri"/>
      <family val="2"/>
      <scheme val="minor"/>
    </font>
    <font>
      <b/>
      <sz val="11"/>
      <color rgb="FFFF0000"/>
      <name val="Times New Roman"/>
      <family val="1"/>
    </font>
    <font>
      <b/>
      <sz val="8"/>
      <name val="Times New Roman"/>
      <family val="1"/>
    </font>
    <font>
      <b/>
      <sz val="9"/>
      <name val="Times New Roman"/>
      <family val="1"/>
    </font>
    <font>
      <b/>
      <sz val="9"/>
      <color theme="8" tint="-0.249977111117893"/>
      <name val="Times New Roman"/>
      <family val="1"/>
    </font>
    <font>
      <b/>
      <sz val="8"/>
      <color theme="8" tint="-0.249977111117893"/>
      <name val="Times New Roman"/>
      <family val="1"/>
    </font>
    <font>
      <b/>
      <sz val="10"/>
      <color theme="8" tint="-0.249977111117893"/>
      <name val="Times New Roman"/>
      <family val="1"/>
    </font>
    <font>
      <b/>
      <sz val="12"/>
      <name val="Calibri"/>
      <family val="2"/>
      <scheme val="minor"/>
    </font>
    <font>
      <b/>
      <sz val="11"/>
      <name val="Calibri"/>
      <family val="2"/>
      <scheme val="minor"/>
    </font>
    <font>
      <b/>
      <sz val="11"/>
      <name val="Calibri"/>
      <family val="2"/>
    </font>
  </fonts>
  <fills count="16">
    <fill>
      <patternFill patternType="none"/>
    </fill>
    <fill>
      <patternFill patternType="gray125"/>
    </fill>
    <fill>
      <patternFill patternType="solid">
        <fgColor indexed="22"/>
        <bgColor indexed="64"/>
      </patternFill>
    </fill>
    <fill>
      <patternFill patternType="solid">
        <fgColor indexed="43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rgb="FFFFFF99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9" tint="0.39997558519241921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8" tint="0.59999389629810485"/>
        <bgColor indexed="64"/>
      </patternFill>
    </fill>
    <fill>
      <patternFill patternType="solid">
        <fgColor theme="4" tint="0.59999389629810485"/>
        <bgColor indexed="64"/>
      </patternFill>
    </fill>
    <fill>
      <patternFill patternType="solid">
        <fgColor theme="3" tint="0.59999389629810485"/>
        <bgColor indexed="64"/>
      </patternFill>
    </fill>
    <fill>
      <patternFill patternType="solid">
        <fgColor theme="0"/>
        <bgColor rgb="FF000000"/>
      </patternFill>
    </fill>
    <fill>
      <patternFill patternType="solid">
        <fgColor rgb="FFFFFF00"/>
        <bgColor indexed="64"/>
      </patternFill>
    </fill>
    <fill>
      <patternFill patternType="solid">
        <fgColor rgb="FFC00000"/>
        <bgColor indexed="64"/>
      </patternFill>
    </fill>
  </fills>
  <borders count="24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 style="medium">
        <color indexed="64"/>
      </right>
      <top style="thin">
        <color indexed="64"/>
      </top>
      <bottom/>
      <diagonal/>
    </border>
    <border>
      <left style="thin">
        <color auto="1"/>
      </left>
      <right style="thin">
        <color indexed="64"/>
      </right>
      <top style="thin">
        <color auto="1"/>
      </top>
      <bottom style="thin">
        <color indexed="64"/>
      </bottom>
      <diagonal/>
    </border>
    <border>
      <left style="thin">
        <color auto="1"/>
      </left>
      <right style="thin">
        <color indexed="64"/>
      </right>
      <top/>
      <bottom style="thin">
        <color indexed="64"/>
      </bottom>
      <diagonal/>
    </border>
    <border>
      <left style="thin">
        <color auto="1"/>
      </left>
      <right style="thin">
        <color indexed="64"/>
      </right>
      <top/>
      <bottom/>
      <diagonal/>
    </border>
    <border>
      <left/>
      <right/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/>
      <bottom style="thin">
        <color indexed="64"/>
      </bottom>
      <diagonal/>
    </border>
    <border>
      <left/>
      <right style="medium">
        <color rgb="FF000000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/>
      <bottom/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/>
      <right/>
      <top style="thin">
        <color auto="1"/>
      </top>
      <bottom style="thin">
        <color indexed="64"/>
      </bottom>
      <diagonal/>
    </border>
    <border>
      <left/>
      <right style="thin">
        <color indexed="64"/>
      </right>
      <top style="thin">
        <color auto="1"/>
      </top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 style="medium">
        <color indexed="64"/>
      </left>
      <right style="medium">
        <color indexed="64"/>
      </right>
      <top/>
      <bottom/>
      <diagonal/>
    </border>
  </borders>
  <cellStyleXfs count="1">
    <xf numFmtId="0" fontId="0" fillId="0" borderId="0"/>
  </cellStyleXfs>
  <cellXfs count="172">
    <xf numFmtId="0" fontId="0" fillId="0" borderId="0" xfId="0"/>
    <xf numFmtId="0" fontId="1" fillId="0" borderId="0" xfId="0" applyFont="1" applyAlignment="1" applyProtection="1">
      <alignment readingOrder="2"/>
      <protection locked="0"/>
    </xf>
    <xf numFmtId="0" fontId="3" fillId="2" borderId="2" xfId="0" applyFont="1" applyFill="1" applyBorder="1" applyAlignment="1" applyProtection="1">
      <alignment horizontal="center" vertical="center" readingOrder="2"/>
      <protection locked="0"/>
    </xf>
    <xf numFmtId="0" fontId="3" fillId="2" borderId="3" xfId="0" applyFont="1" applyFill="1" applyBorder="1" applyAlignment="1" applyProtection="1">
      <alignment horizontal="center" vertical="center" readingOrder="2"/>
      <protection locked="0"/>
    </xf>
    <xf numFmtId="0" fontId="6" fillId="0" borderId="3" xfId="0" applyFont="1" applyBorder="1" applyAlignment="1" applyProtection="1">
      <alignment horizontal="center" readingOrder="2"/>
      <protection locked="0"/>
    </xf>
    <xf numFmtId="0" fontId="1" fillId="0" borderId="0" xfId="0" applyFont="1" applyAlignment="1" applyProtection="1">
      <alignment horizontal="center" readingOrder="2"/>
      <protection locked="0"/>
    </xf>
    <xf numFmtId="0" fontId="1" fillId="0" borderId="0" xfId="0" applyFont="1" applyAlignment="1" applyProtection="1">
      <alignment horizontal="center" vertical="center" readingOrder="2"/>
      <protection locked="0"/>
    </xf>
    <xf numFmtId="1" fontId="1" fillId="0" borderId="0" xfId="0" applyNumberFormat="1" applyFont="1" applyAlignment="1" applyProtection="1">
      <alignment readingOrder="2"/>
      <protection locked="0"/>
    </xf>
    <xf numFmtId="2" fontId="1" fillId="0" borderId="0" xfId="0" applyNumberFormat="1" applyFont="1" applyAlignment="1" applyProtection="1">
      <alignment horizontal="center" vertical="center" readingOrder="2"/>
      <protection locked="0"/>
    </xf>
    <xf numFmtId="0" fontId="3" fillId="2" borderId="3" xfId="0" applyFont="1" applyFill="1" applyBorder="1" applyAlignment="1" applyProtection="1">
      <alignment horizontal="center" vertical="center" wrapText="1" readingOrder="2"/>
      <protection locked="0"/>
    </xf>
    <xf numFmtId="0" fontId="3" fillId="4" borderId="3" xfId="0" applyFont="1" applyFill="1" applyBorder="1" applyAlignment="1" applyProtection="1">
      <alignment horizontal="center" vertical="center" readingOrder="2"/>
      <protection locked="0"/>
    </xf>
    <xf numFmtId="0" fontId="7" fillId="0" borderId="3" xfId="0" applyFont="1" applyBorder="1" applyAlignment="1" applyProtection="1">
      <alignment horizontal="center" readingOrder="2"/>
      <protection locked="0"/>
    </xf>
    <xf numFmtId="0" fontId="0" fillId="0" borderId="0" xfId="0" applyAlignment="1" applyProtection="1">
      <alignment horizontal="center"/>
      <protection locked="0"/>
    </xf>
    <xf numFmtId="0" fontId="6" fillId="0" borderId="3" xfId="0" applyFont="1" applyBorder="1" applyAlignment="1" applyProtection="1">
      <alignment horizontal="center" readingOrder="2"/>
      <protection locked="0" hidden="1"/>
    </xf>
    <xf numFmtId="1" fontId="6" fillId="0" borderId="3" xfId="0" applyNumberFormat="1" applyFont="1" applyBorder="1" applyAlignment="1" applyProtection="1">
      <alignment horizontal="center" readingOrder="2"/>
      <protection locked="0" hidden="1"/>
    </xf>
    <xf numFmtId="0" fontId="4" fillId="0" borderId="3" xfId="0" applyFont="1" applyBorder="1" applyAlignment="1" applyProtection="1">
      <alignment horizontal="center" readingOrder="2"/>
      <protection locked="0"/>
    </xf>
    <xf numFmtId="0" fontId="9" fillId="4" borderId="14" xfId="0" applyFont="1" applyFill="1" applyBorder="1" applyAlignment="1">
      <alignment horizontal="center" vertical="center" readingOrder="2"/>
    </xf>
    <xf numFmtId="0" fontId="11" fillId="0" borderId="3" xfId="0" applyFont="1" applyBorder="1" applyAlignment="1" applyProtection="1">
      <alignment horizontal="center" readingOrder="2"/>
      <protection locked="0"/>
    </xf>
    <xf numFmtId="0" fontId="2" fillId="0" borderId="3" xfId="0" applyFont="1" applyBorder="1" applyAlignment="1" applyProtection="1">
      <alignment horizontal="center" readingOrder="2"/>
      <protection locked="0"/>
    </xf>
    <xf numFmtId="0" fontId="6" fillId="0" borderId="5" xfId="0" applyFont="1" applyBorder="1" applyAlignment="1" applyProtection="1">
      <alignment horizontal="center" readingOrder="2"/>
      <protection locked="0"/>
    </xf>
    <xf numFmtId="0" fontId="7" fillId="0" borderId="4" xfId="0" applyFont="1" applyBorder="1" applyAlignment="1" applyProtection="1">
      <alignment readingOrder="2"/>
      <protection locked="0"/>
    </xf>
    <xf numFmtId="0" fontId="1" fillId="0" borderId="3" xfId="0" applyFont="1" applyBorder="1" applyAlignment="1" applyProtection="1">
      <alignment readingOrder="2"/>
      <protection locked="0"/>
    </xf>
    <xf numFmtId="0" fontId="14" fillId="6" borderId="10" xfId="0" applyFont="1" applyFill="1" applyBorder="1" applyAlignment="1" applyProtection="1">
      <alignment horizontal="center" vertical="center"/>
      <protection locked="0"/>
    </xf>
    <xf numFmtId="1" fontId="14" fillId="6" borderId="10" xfId="0" applyNumberFormat="1" applyFont="1" applyFill="1" applyBorder="1" applyAlignment="1" applyProtection="1">
      <alignment horizontal="center" vertical="center"/>
      <protection locked="0"/>
    </xf>
    <xf numFmtId="2" fontId="14" fillId="6" borderId="10" xfId="0" applyNumberFormat="1" applyFont="1" applyFill="1" applyBorder="1" applyAlignment="1" applyProtection="1">
      <alignment horizontal="center" vertical="center"/>
      <protection locked="0"/>
    </xf>
    <xf numFmtId="0" fontId="14" fillId="7" borderId="10" xfId="0" applyFont="1" applyFill="1" applyBorder="1" applyAlignment="1" applyProtection="1">
      <alignment horizontal="center" vertical="center"/>
      <protection hidden="1"/>
    </xf>
    <xf numFmtId="1" fontId="14" fillId="7" borderId="10" xfId="0" applyNumberFormat="1" applyFont="1" applyFill="1" applyBorder="1" applyAlignment="1" applyProtection="1">
      <alignment horizontal="center" vertical="center"/>
      <protection hidden="1"/>
    </xf>
    <xf numFmtId="0" fontId="14" fillId="8" borderId="10" xfId="0" applyFont="1" applyFill="1" applyBorder="1" applyAlignment="1" applyProtection="1">
      <alignment horizontal="center" vertical="center"/>
      <protection hidden="1"/>
    </xf>
    <xf numFmtId="0" fontId="14" fillId="9" borderId="10" xfId="0" applyFont="1" applyFill="1" applyBorder="1" applyAlignment="1" applyProtection="1">
      <alignment horizontal="center" vertical="center"/>
      <protection hidden="1"/>
    </xf>
    <xf numFmtId="0" fontId="14" fillId="10" borderId="10" xfId="0" applyFont="1" applyFill="1" applyBorder="1" applyAlignment="1" applyProtection="1">
      <alignment horizontal="center" vertical="center"/>
      <protection hidden="1"/>
    </xf>
    <xf numFmtId="0" fontId="14" fillId="11" borderId="10" xfId="0" applyFont="1" applyFill="1" applyBorder="1" applyAlignment="1" applyProtection="1">
      <alignment horizontal="center" vertical="center"/>
      <protection hidden="1"/>
    </xf>
    <xf numFmtId="0" fontId="14" fillId="12" borderId="10" xfId="0" applyFont="1" applyFill="1" applyBorder="1" applyAlignment="1" applyProtection="1">
      <alignment horizontal="center" vertical="center"/>
      <protection hidden="1"/>
    </xf>
    <xf numFmtId="1" fontId="14" fillId="12" borderId="10" xfId="0" applyNumberFormat="1" applyFont="1" applyFill="1" applyBorder="1" applyAlignment="1" applyProtection="1">
      <alignment horizontal="center" vertical="center"/>
      <protection hidden="1"/>
    </xf>
    <xf numFmtId="0" fontId="5" fillId="7" borderId="10" xfId="0" applyFont="1" applyFill="1" applyBorder="1" applyAlignment="1" applyProtection="1">
      <alignment horizontal="center" vertical="center"/>
      <protection locked="0"/>
    </xf>
    <xf numFmtId="0" fontId="5" fillId="8" borderId="10" xfId="0" applyFont="1" applyFill="1" applyBorder="1" applyAlignment="1" applyProtection="1">
      <alignment horizontal="center" vertical="center"/>
      <protection locked="0"/>
    </xf>
    <xf numFmtId="0" fontId="5" fillId="9" borderId="10" xfId="0" applyFont="1" applyFill="1" applyBorder="1" applyAlignment="1" applyProtection="1">
      <alignment horizontal="center" vertical="center"/>
      <protection locked="0"/>
    </xf>
    <xf numFmtId="0" fontId="5" fillId="10" borderId="10" xfId="0" applyFont="1" applyFill="1" applyBorder="1" applyAlignment="1" applyProtection="1">
      <alignment horizontal="center" vertical="center"/>
      <protection locked="0"/>
    </xf>
    <xf numFmtId="0" fontId="5" fillId="11" borderId="10" xfId="0" applyFont="1" applyFill="1" applyBorder="1" applyAlignment="1" applyProtection="1">
      <alignment horizontal="center" vertical="center"/>
      <protection locked="0"/>
    </xf>
    <xf numFmtId="0" fontId="5" fillId="12" borderId="10" xfId="0" applyFont="1" applyFill="1" applyBorder="1" applyAlignment="1" applyProtection="1">
      <alignment horizontal="center" vertical="center"/>
      <protection locked="0"/>
    </xf>
    <xf numFmtId="1" fontId="1" fillId="4" borderId="3" xfId="0" applyNumberFormat="1" applyFont="1" applyFill="1" applyBorder="1" applyAlignment="1" applyProtection="1">
      <alignment readingOrder="2"/>
      <protection locked="0"/>
    </xf>
    <xf numFmtId="1" fontId="1" fillId="4" borderId="0" xfId="0" applyNumberFormat="1" applyFont="1" applyFill="1" applyAlignment="1" applyProtection="1">
      <alignment readingOrder="2"/>
      <protection locked="0"/>
    </xf>
    <xf numFmtId="0" fontId="3" fillId="4" borderId="3" xfId="0" applyFont="1" applyFill="1" applyBorder="1" applyAlignment="1" applyProtection="1">
      <alignment horizontal="center" vertical="center" wrapText="1" readingOrder="2"/>
      <protection locked="0"/>
    </xf>
    <xf numFmtId="0" fontId="9" fillId="4" borderId="3" xfId="0" applyFont="1" applyFill="1" applyBorder="1" applyAlignment="1" applyProtection="1">
      <alignment horizontal="center" vertical="center" wrapText="1" readingOrder="2"/>
      <protection locked="0"/>
    </xf>
    <xf numFmtId="1" fontId="15" fillId="4" borderId="3" xfId="0" applyNumberFormat="1" applyFont="1" applyFill="1" applyBorder="1" applyAlignment="1" applyProtection="1">
      <alignment horizontal="center" vertical="center" wrapText="1" readingOrder="2"/>
      <protection hidden="1"/>
    </xf>
    <xf numFmtId="0" fontId="9" fillId="4" borderId="14" xfId="0" applyFont="1" applyFill="1" applyBorder="1" applyAlignment="1">
      <alignment horizontal="center" vertical="center" wrapText="1" readingOrder="2"/>
    </xf>
    <xf numFmtId="0" fontId="10" fillId="4" borderId="3" xfId="0" applyFont="1" applyFill="1" applyBorder="1" applyAlignment="1" applyProtection="1">
      <alignment horizontal="center" vertical="center" wrapText="1" readingOrder="2"/>
      <protection locked="0"/>
    </xf>
    <xf numFmtId="0" fontId="13" fillId="4" borderId="3" xfId="0" applyFont="1" applyFill="1" applyBorder="1" applyAlignment="1" applyProtection="1">
      <alignment horizontal="center" vertical="center" wrapText="1" readingOrder="2"/>
      <protection locked="0"/>
    </xf>
    <xf numFmtId="0" fontId="15" fillId="4" borderId="3" xfId="0" applyFont="1" applyFill="1" applyBorder="1" applyAlignment="1" applyProtection="1">
      <alignment horizontal="center" vertical="center" wrapText="1" readingOrder="2"/>
      <protection locked="0"/>
    </xf>
    <xf numFmtId="0" fontId="15" fillId="4" borderId="3" xfId="0" applyFont="1" applyFill="1" applyBorder="1" applyAlignment="1" applyProtection="1">
      <alignment horizontal="center" vertical="center" wrapText="1" readingOrder="2"/>
      <protection hidden="1"/>
    </xf>
    <xf numFmtId="0" fontId="1" fillId="4" borderId="0" xfId="0" applyFont="1" applyFill="1" applyAlignment="1" applyProtection="1">
      <alignment readingOrder="2"/>
      <protection locked="0"/>
    </xf>
    <xf numFmtId="0" fontId="0" fillId="4" borderId="0" xfId="0" applyFill="1" applyProtection="1">
      <protection locked="0"/>
    </xf>
    <xf numFmtId="0" fontId="1" fillId="4" borderId="8" xfId="0" applyFont="1" applyFill="1" applyBorder="1" applyAlignment="1" applyProtection="1">
      <alignment readingOrder="2"/>
      <protection locked="0"/>
    </xf>
    <xf numFmtId="0" fontId="3" fillId="4" borderId="4" xfId="0" applyFont="1" applyFill="1" applyBorder="1" applyAlignment="1" applyProtection="1">
      <alignment horizontal="center" vertical="center" wrapText="1" readingOrder="2"/>
      <protection locked="0"/>
    </xf>
    <xf numFmtId="0" fontId="1" fillId="0" borderId="3" xfId="0" applyFont="1" applyBorder="1" applyAlignment="1" applyProtection="1">
      <alignment horizontal="center" readingOrder="2"/>
      <protection locked="0"/>
    </xf>
    <xf numFmtId="0" fontId="18" fillId="4" borderId="3" xfId="0" applyFont="1" applyFill="1" applyBorder="1" applyAlignment="1" applyProtection="1">
      <alignment horizontal="center" vertical="center" wrapText="1" readingOrder="2"/>
      <protection locked="0"/>
    </xf>
    <xf numFmtId="0" fontId="10" fillId="4" borderId="6" xfId="0" applyFont="1" applyFill="1" applyBorder="1" applyAlignment="1" applyProtection="1">
      <alignment horizontal="center" vertical="center" wrapText="1" readingOrder="2"/>
      <protection locked="0"/>
    </xf>
    <xf numFmtId="0" fontId="1" fillId="4" borderId="0" xfId="0" applyFont="1" applyFill="1" applyAlignment="1" applyProtection="1">
      <alignment horizontal="center" vertical="center" readingOrder="2"/>
      <protection locked="0"/>
    </xf>
    <xf numFmtId="0" fontId="6" fillId="4" borderId="3" xfId="0" applyFont="1" applyFill="1" applyBorder="1" applyAlignment="1" applyProtection="1">
      <alignment horizontal="center" readingOrder="2"/>
      <protection locked="0"/>
    </xf>
    <xf numFmtId="0" fontId="6" fillId="4" borderId="3" xfId="0" applyFont="1" applyFill="1" applyBorder="1" applyAlignment="1" applyProtection="1">
      <alignment horizontal="center" vertical="center" readingOrder="2"/>
      <protection locked="0"/>
    </xf>
    <xf numFmtId="0" fontId="3" fillId="13" borderId="4" xfId="0" applyFont="1" applyFill="1" applyBorder="1" applyAlignment="1" applyProtection="1">
      <alignment horizontal="center" vertical="center" wrapText="1" readingOrder="2"/>
      <protection locked="0"/>
    </xf>
    <xf numFmtId="0" fontId="3" fillId="13" borderId="3" xfId="0" applyFont="1" applyFill="1" applyBorder="1" applyAlignment="1" applyProtection="1">
      <alignment horizontal="center" vertical="center" wrapText="1" readingOrder="2"/>
      <protection locked="0"/>
    </xf>
    <xf numFmtId="0" fontId="1" fillId="14" borderId="0" xfId="0" applyFont="1" applyFill="1" applyAlignment="1" applyProtection="1">
      <alignment readingOrder="2"/>
      <protection locked="0"/>
    </xf>
    <xf numFmtId="0" fontId="3" fillId="4" borderId="5" xfId="0" applyFont="1" applyFill="1" applyBorder="1" applyAlignment="1" applyProtection="1">
      <alignment horizontal="center" vertical="center" wrapText="1" readingOrder="2"/>
      <protection locked="0"/>
    </xf>
    <xf numFmtId="0" fontId="16" fillId="4" borderId="5" xfId="0" applyFont="1" applyFill="1" applyBorder="1" applyAlignment="1" applyProtection="1">
      <alignment horizontal="center" vertical="center" wrapText="1" readingOrder="2"/>
      <protection locked="0"/>
    </xf>
    <xf numFmtId="0" fontId="9" fillId="4" borderId="5" xfId="0" applyFont="1" applyFill="1" applyBorder="1" applyAlignment="1">
      <alignment horizontal="center" vertical="center" wrapText="1" readingOrder="2"/>
    </xf>
    <xf numFmtId="0" fontId="17" fillId="4" borderId="5" xfId="0" applyFont="1" applyFill="1" applyBorder="1" applyAlignment="1">
      <alignment horizontal="center" vertical="center" wrapText="1" readingOrder="2"/>
    </xf>
    <xf numFmtId="0" fontId="12" fillId="4" borderId="21" xfId="0" applyFont="1" applyFill="1" applyBorder="1" applyAlignment="1" applyProtection="1">
      <alignment horizontal="center" vertical="center" wrapText="1"/>
      <protection locked="0"/>
    </xf>
    <xf numFmtId="0" fontId="9" fillId="4" borderId="4" xfId="0" applyFont="1" applyFill="1" applyBorder="1" applyAlignment="1">
      <alignment horizontal="center" vertical="center" wrapText="1" readingOrder="2"/>
    </xf>
    <xf numFmtId="0" fontId="9" fillId="4" borderId="21" xfId="0" applyFont="1" applyFill="1" applyBorder="1" applyAlignment="1" applyProtection="1">
      <alignment horizontal="center"/>
      <protection locked="0"/>
    </xf>
    <xf numFmtId="0" fontId="3" fillId="4" borderId="17" xfId="0" applyFont="1" applyFill="1" applyBorder="1" applyAlignment="1" applyProtection="1">
      <alignment horizontal="center" vertical="center" wrapText="1" readingOrder="2"/>
      <protection locked="0"/>
    </xf>
    <xf numFmtId="0" fontId="3" fillId="4" borderId="18" xfId="0" applyFont="1" applyFill="1" applyBorder="1" applyAlignment="1" applyProtection="1">
      <alignment horizontal="center" vertical="center" wrapText="1" readingOrder="2"/>
      <protection locked="0"/>
    </xf>
    <xf numFmtId="0" fontId="16" fillId="4" borderId="18" xfId="0" applyFont="1" applyFill="1" applyBorder="1" applyAlignment="1" applyProtection="1">
      <alignment horizontal="center" vertical="center" wrapText="1" readingOrder="2"/>
      <protection locked="0"/>
    </xf>
    <xf numFmtId="0" fontId="9" fillId="4" borderId="18" xfId="0" applyFont="1" applyFill="1" applyBorder="1" applyAlignment="1">
      <alignment horizontal="center" vertical="center" wrapText="1" readingOrder="2"/>
    </xf>
    <xf numFmtId="0" fontId="17" fillId="4" borderId="18" xfId="0" applyFont="1" applyFill="1" applyBorder="1" applyAlignment="1">
      <alignment horizontal="center" vertical="center" wrapText="1" readingOrder="2"/>
    </xf>
    <xf numFmtId="0" fontId="19" fillId="4" borderId="5" xfId="0" applyFont="1" applyFill="1" applyBorder="1" applyAlignment="1" applyProtection="1">
      <alignment horizontal="center" vertical="center" wrapText="1" readingOrder="2"/>
      <protection locked="0"/>
    </xf>
    <xf numFmtId="0" fontId="20" fillId="4" borderId="5" xfId="0" applyFont="1" applyFill="1" applyBorder="1" applyAlignment="1" applyProtection="1">
      <alignment horizontal="center" vertical="center" wrapText="1" readingOrder="2"/>
      <protection locked="0"/>
    </xf>
    <xf numFmtId="0" fontId="22" fillId="4" borderId="5" xfId="0" applyFont="1" applyFill="1" applyBorder="1" applyAlignment="1" applyProtection="1">
      <alignment horizontal="center" vertical="center" wrapText="1" readingOrder="2"/>
      <protection locked="0"/>
    </xf>
    <xf numFmtId="0" fontId="3" fillId="4" borderId="19" xfId="0" applyFont="1" applyFill="1" applyBorder="1" applyAlignment="1" applyProtection="1">
      <alignment horizontal="center" vertical="center" wrapText="1" readingOrder="2"/>
      <protection locked="0"/>
    </xf>
    <xf numFmtId="0" fontId="6" fillId="4" borderId="0" xfId="0" applyFont="1" applyFill="1" applyAlignment="1" applyProtection="1">
      <alignment horizontal="center" readingOrder="2"/>
      <protection locked="0"/>
    </xf>
    <xf numFmtId="0" fontId="23" fillId="4" borderId="5" xfId="0" applyFont="1" applyFill="1" applyBorder="1" applyAlignment="1" applyProtection="1">
      <alignment horizontal="center" vertical="center" wrapText="1" readingOrder="2"/>
      <protection locked="0"/>
    </xf>
    <xf numFmtId="0" fontId="5" fillId="0" borderId="0" xfId="0" applyFont="1" applyAlignment="1">
      <alignment horizontal="center" vertical="center"/>
    </xf>
    <xf numFmtId="1" fontId="15" fillId="4" borderId="3" xfId="0" applyNumberFormat="1" applyFont="1" applyFill="1" applyBorder="1" applyAlignment="1" applyProtection="1">
      <alignment vertical="center" wrapText="1" readingOrder="2"/>
      <protection hidden="1"/>
    </xf>
    <xf numFmtId="0" fontId="2" fillId="4" borderId="5" xfId="0" applyFont="1" applyFill="1" applyBorder="1" applyAlignment="1" applyProtection="1">
      <alignment horizontal="center" vertical="center" wrapText="1" readingOrder="2"/>
      <protection locked="0"/>
    </xf>
    <xf numFmtId="0" fontId="5" fillId="4" borderId="17" xfId="0" applyFont="1" applyFill="1" applyBorder="1" applyAlignment="1">
      <alignment horizontal="center" vertical="center"/>
    </xf>
    <xf numFmtId="0" fontId="5" fillId="4" borderId="18" xfId="0" applyFont="1" applyFill="1" applyBorder="1" applyAlignment="1">
      <alignment horizontal="center" vertical="center"/>
    </xf>
    <xf numFmtId="0" fontId="6" fillId="4" borderId="6" xfId="0" applyFont="1" applyFill="1" applyBorder="1" applyAlignment="1" applyProtection="1">
      <alignment horizontal="center" readingOrder="2"/>
      <protection locked="0"/>
    </xf>
    <xf numFmtId="0" fontId="15" fillId="4" borderId="6" xfId="0" applyFont="1" applyFill="1" applyBorder="1" applyAlignment="1" applyProtection="1">
      <alignment horizontal="center" vertical="center" wrapText="1" readingOrder="2"/>
      <protection hidden="1"/>
    </xf>
    <xf numFmtId="1" fontId="15" fillId="4" borderId="6" xfId="0" applyNumberFormat="1" applyFont="1" applyFill="1" applyBorder="1" applyAlignment="1" applyProtection="1">
      <alignment horizontal="center" vertical="center" wrapText="1" readingOrder="2"/>
      <protection hidden="1"/>
    </xf>
    <xf numFmtId="0" fontId="9" fillId="4" borderId="22" xfId="0" applyFont="1" applyFill="1" applyBorder="1" applyAlignment="1">
      <alignment horizontal="center" vertical="center" wrapText="1" readingOrder="2"/>
    </xf>
    <xf numFmtId="0" fontId="15" fillId="4" borderId="7" xfId="0" applyFont="1" applyFill="1" applyBorder="1" applyAlignment="1" applyProtection="1">
      <alignment horizontal="center" vertical="center" wrapText="1" readingOrder="2"/>
      <protection locked="0"/>
    </xf>
    <xf numFmtId="1" fontId="15" fillId="4" borderId="7" xfId="0" applyNumberFormat="1" applyFont="1" applyFill="1" applyBorder="1" applyAlignment="1" applyProtection="1">
      <alignment horizontal="center" vertical="center" wrapText="1" readingOrder="2"/>
      <protection hidden="1"/>
    </xf>
    <xf numFmtId="0" fontId="15" fillId="4" borderId="7" xfId="0" applyFont="1" applyFill="1" applyBorder="1" applyAlignment="1" applyProtection="1">
      <alignment horizontal="center" vertical="center" wrapText="1" readingOrder="2"/>
      <protection hidden="1"/>
    </xf>
    <xf numFmtId="0" fontId="15" fillId="4" borderId="10" xfId="0" applyFont="1" applyFill="1" applyBorder="1" applyAlignment="1" applyProtection="1">
      <alignment horizontal="center" vertical="center" wrapText="1" readingOrder="2"/>
      <protection locked="0"/>
    </xf>
    <xf numFmtId="0" fontId="10" fillId="4" borderId="3" xfId="0" applyFont="1" applyFill="1" applyBorder="1" applyAlignment="1" applyProtection="1">
      <alignment horizontal="center" vertical="center" wrapText="1"/>
      <protection locked="0"/>
    </xf>
    <xf numFmtId="0" fontId="5" fillId="4" borderId="19" xfId="0" applyFont="1" applyFill="1" applyBorder="1" applyAlignment="1">
      <alignment horizontal="center" vertical="center"/>
    </xf>
    <xf numFmtId="0" fontId="8" fillId="4" borderId="0" xfId="0" applyFont="1" applyFill="1" applyAlignment="1" applyProtection="1">
      <alignment readingOrder="2"/>
      <protection locked="0"/>
    </xf>
    <xf numFmtId="0" fontId="1" fillId="4" borderId="0" xfId="0" applyFont="1" applyFill="1" applyAlignment="1" applyProtection="1">
      <alignment vertical="center" readingOrder="2"/>
      <protection locked="0"/>
    </xf>
    <xf numFmtId="0" fontId="18" fillId="15" borderId="3" xfId="0" applyFont="1" applyFill="1" applyBorder="1" applyAlignment="1" applyProtection="1">
      <alignment horizontal="center" vertical="center" wrapText="1" readingOrder="2"/>
      <protection locked="0"/>
    </xf>
    <xf numFmtId="0" fontId="5" fillId="15" borderId="18" xfId="0" applyFont="1" applyFill="1" applyBorder="1" applyAlignment="1">
      <alignment horizontal="center" vertical="center"/>
    </xf>
    <xf numFmtId="0" fontId="9" fillId="15" borderId="3" xfId="0" applyFont="1" applyFill="1" applyBorder="1" applyAlignment="1" applyProtection="1">
      <alignment horizontal="center" vertical="center" wrapText="1" readingOrder="2"/>
      <protection locked="0"/>
    </xf>
    <xf numFmtId="0" fontId="9" fillId="15" borderId="14" xfId="0" applyFont="1" applyFill="1" applyBorder="1" applyAlignment="1">
      <alignment horizontal="center" vertical="center" wrapText="1" readingOrder="2"/>
    </xf>
    <xf numFmtId="0" fontId="24" fillId="15" borderId="18" xfId="0" applyFont="1" applyFill="1" applyBorder="1" applyAlignment="1">
      <alignment horizontal="center" vertical="center"/>
    </xf>
    <xf numFmtId="0" fontId="3" fillId="15" borderId="4" xfId="0" applyFont="1" applyFill="1" applyBorder="1" applyAlignment="1" applyProtection="1">
      <alignment horizontal="center" vertical="center" wrapText="1" readingOrder="2"/>
      <protection locked="0"/>
    </xf>
    <xf numFmtId="0" fontId="3" fillId="15" borderId="3" xfId="0" applyFont="1" applyFill="1" applyBorder="1" applyAlignment="1" applyProtection="1">
      <alignment horizontal="center" vertical="center" wrapText="1" readingOrder="2"/>
      <protection locked="0"/>
    </xf>
    <xf numFmtId="0" fontId="10" fillId="15" borderId="3" xfId="0" applyFont="1" applyFill="1" applyBorder="1" applyAlignment="1" applyProtection="1">
      <alignment horizontal="center" vertical="center" wrapText="1" readingOrder="2"/>
      <protection locked="0"/>
    </xf>
    <xf numFmtId="0" fontId="25" fillId="15" borderId="3" xfId="0" applyFont="1" applyFill="1" applyBorder="1" applyAlignment="1" applyProtection="1">
      <alignment horizontal="center" vertical="center" wrapText="1" readingOrder="2"/>
      <protection locked="0"/>
    </xf>
    <xf numFmtId="0" fontId="26" fillId="15" borderId="3" xfId="0" applyFont="1" applyFill="1" applyBorder="1" applyAlignment="1" applyProtection="1">
      <alignment horizontal="center" vertical="center" wrapText="1" readingOrder="2"/>
      <protection locked="0"/>
    </xf>
    <xf numFmtId="0" fontId="3" fillId="15" borderId="5" xfId="0" applyFont="1" applyFill="1" applyBorder="1" applyAlignment="1" applyProtection="1">
      <alignment horizontal="center" vertical="center" wrapText="1" readingOrder="2"/>
      <protection locked="0"/>
    </xf>
    <xf numFmtId="0" fontId="3" fillId="15" borderId="18" xfId="0" applyFont="1" applyFill="1" applyBorder="1" applyAlignment="1" applyProtection="1">
      <alignment horizontal="center" vertical="center" wrapText="1" readingOrder="2"/>
      <protection locked="0"/>
    </xf>
    <xf numFmtId="0" fontId="25" fillId="15" borderId="21" xfId="0" applyFont="1" applyFill="1" applyBorder="1" applyAlignment="1" applyProtection="1">
      <alignment horizontal="center" vertical="center" wrapText="1"/>
      <protection locked="0"/>
    </xf>
    <xf numFmtId="1" fontId="3" fillId="15" borderId="3" xfId="0" applyNumberFormat="1" applyFont="1" applyFill="1" applyBorder="1" applyAlignment="1" applyProtection="1">
      <alignment horizontal="center" vertical="center" wrapText="1" readingOrder="2"/>
      <protection hidden="1"/>
    </xf>
    <xf numFmtId="0" fontId="4" fillId="15" borderId="3" xfId="0" applyFont="1" applyFill="1" applyBorder="1" applyAlignment="1" applyProtection="1">
      <alignment horizontal="center" readingOrder="2"/>
      <protection locked="0"/>
    </xf>
    <xf numFmtId="0" fontId="3" fillId="15" borderId="3" xfId="0" applyFont="1" applyFill="1" applyBorder="1" applyAlignment="1" applyProtection="1">
      <alignment horizontal="center" vertical="center" wrapText="1" readingOrder="2"/>
      <protection hidden="1"/>
    </xf>
    <xf numFmtId="0" fontId="25" fillId="15" borderId="14" xfId="0" applyFont="1" applyFill="1" applyBorder="1" applyAlignment="1">
      <alignment horizontal="center" vertical="center" wrapText="1" readingOrder="2"/>
    </xf>
    <xf numFmtId="0" fontId="1" fillId="15" borderId="0" xfId="0" applyFont="1" applyFill="1" applyAlignment="1" applyProtection="1">
      <alignment readingOrder="2"/>
      <protection locked="0"/>
    </xf>
    <xf numFmtId="0" fontId="13" fillId="15" borderId="3" xfId="0" applyFont="1" applyFill="1" applyBorder="1" applyAlignment="1" applyProtection="1">
      <alignment horizontal="center" vertical="center" wrapText="1" readingOrder="2"/>
      <protection locked="0"/>
    </xf>
    <xf numFmtId="0" fontId="12" fillId="15" borderId="21" xfId="0" applyFont="1" applyFill="1" applyBorder="1" applyAlignment="1" applyProtection="1">
      <alignment horizontal="center" vertical="center" wrapText="1"/>
      <protection locked="0"/>
    </xf>
    <xf numFmtId="0" fontId="15" fillId="15" borderId="3" xfId="0" applyFont="1" applyFill="1" applyBorder="1" applyAlignment="1" applyProtection="1">
      <alignment horizontal="center" vertical="center" wrapText="1" readingOrder="2"/>
      <protection locked="0"/>
    </xf>
    <xf numFmtId="1" fontId="15" fillId="15" borderId="3" xfId="0" applyNumberFormat="1" applyFont="1" applyFill="1" applyBorder="1" applyAlignment="1" applyProtection="1">
      <alignment horizontal="center" vertical="center" wrapText="1" readingOrder="2"/>
      <protection hidden="1"/>
    </xf>
    <xf numFmtId="0" fontId="6" fillId="15" borderId="3" xfId="0" applyFont="1" applyFill="1" applyBorder="1" applyAlignment="1" applyProtection="1">
      <alignment horizontal="center" readingOrder="2"/>
      <protection locked="0"/>
    </xf>
    <xf numFmtId="0" fontId="15" fillId="15" borderId="3" xfId="0" applyFont="1" applyFill="1" applyBorder="1" applyAlignment="1" applyProtection="1">
      <alignment horizontal="center" vertical="center" wrapText="1" readingOrder="2"/>
      <protection hidden="1"/>
    </xf>
    <xf numFmtId="0" fontId="16" fillId="15" borderId="5" xfId="0" applyFont="1" applyFill="1" applyBorder="1" applyAlignment="1" applyProtection="1">
      <alignment horizontal="center" vertical="center" wrapText="1" readingOrder="2"/>
      <protection locked="0"/>
    </xf>
    <xf numFmtId="0" fontId="16" fillId="15" borderId="18" xfId="0" applyFont="1" applyFill="1" applyBorder="1" applyAlignment="1" applyProtection="1">
      <alignment horizontal="center" vertical="center" wrapText="1" readingOrder="2"/>
      <protection locked="0"/>
    </xf>
    <xf numFmtId="0" fontId="2" fillId="15" borderId="0" xfId="0" applyFont="1" applyFill="1" applyAlignment="1" applyProtection="1">
      <alignment readingOrder="2"/>
      <protection locked="0"/>
    </xf>
    <xf numFmtId="0" fontId="9" fillId="15" borderId="5" xfId="0" applyFont="1" applyFill="1" applyBorder="1" applyAlignment="1">
      <alignment horizontal="center" vertical="center" wrapText="1" readingOrder="2"/>
    </xf>
    <xf numFmtId="0" fontId="9" fillId="15" borderId="18" xfId="0" applyFont="1" applyFill="1" applyBorder="1" applyAlignment="1">
      <alignment horizontal="center" vertical="center" wrapText="1" readingOrder="2"/>
    </xf>
    <xf numFmtId="0" fontId="20" fillId="15" borderId="5" xfId="0" applyFont="1" applyFill="1" applyBorder="1" applyAlignment="1" applyProtection="1">
      <alignment horizontal="center" vertical="center" wrapText="1" readingOrder="2"/>
      <protection locked="0"/>
    </xf>
    <xf numFmtId="0" fontId="10" fillId="15" borderId="3" xfId="0" applyFont="1" applyFill="1" applyBorder="1" applyAlignment="1" applyProtection="1">
      <alignment horizontal="center" vertical="center" wrapText="1"/>
      <protection locked="0"/>
    </xf>
    <xf numFmtId="0" fontId="22" fillId="15" borderId="5" xfId="0" applyFont="1" applyFill="1" applyBorder="1" applyAlignment="1" applyProtection="1">
      <alignment horizontal="center" vertical="center" wrapText="1" readingOrder="2"/>
      <protection locked="0"/>
    </xf>
    <xf numFmtId="0" fontId="19" fillId="15" borderId="5" xfId="0" applyFont="1" applyFill="1" applyBorder="1" applyAlignment="1" applyProtection="1">
      <alignment horizontal="center" vertical="center" wrapText="1" readingOrder="2"/>
      <protection locked="0"/>
    </xf>
    <xf numFmtId="0" fontId="9" fillId="15" borderId="4" xfId="0" applyFont="1" applyFill="1" applyBorder="1" applyAlignment="1">
      <alignment horizontal="center" vertical="center" wrapText="1" readingOrder="2"/>
    </xf>
    <xf numFmtId="0" fontId="21" fillId="15" borderId="5" xfId="0" applyFont="1" applyFill="1" applyBorder="1" applyAlignment="1" applyProtection="1">
      <alignment horizontal="center" vertical="center" wrapText="1" readingOrder="2"/>
      <protection locked="0"/>
    </xf>
    <xf numFmtId="1" fontId="15" fillId="15" borderId="7" xfId="0" applyNumberFormat="1" applyFont="1" applyFill="1" applyBorder="1" applyAlignment="1" applyProtection="1">
      <alignment horizontal="center" vertical="center" wrapText="1" readingOrder="2"/>
      <protection hidden="1"/>
    </xf>
    <xf numFmtId="0" fontId="15" fillId="15" borderId="7" xfId="0" applyFont="1" applyFill="1" applyBorder="1" applyAlignment="1" applyProtection="1">
      <alignment horizontal="center" vertical="center" wrapText="1" readingOrder="2"/>
      <protection locked="0"/>
    </xf>
    <xf numFmtId="0" fontId="15" fillId="15" borderId="7" xfId="0" applyFont="1" applyFill="1" applyBorder="1" applyAlignment="1" applyProtection="1">
      <alignment horizontal="center" vertical="center" wrapText="1" readingOrder="2"/>
      <protection hidden="1"/>
    </xf>
    <xf numFmtId="0" fontId="15" fillId="4" borderId="5" xfId="0" applyFont="1" applyFill="1" applyBorder="1" applyAlignment="1" applyProtection="1">
      <alignment horizontal="center" vertical="center" wrapText="1" readingOrder="2"/>
      <protection locked="0"/>
    </xf>
    <xf numFmtId="0" fontId="15" fillId="4" borderId="13" xfId="0" applyFont="1" applyFill="1" applyBorder="1" applyAlignment="1" applyProtection="1">
      <alignment horizontal="center" vertical="center" wrapText="1" readingOrder="2"/>
      <protection locked="0"/>
    </xf>
    <xf numFmtId="0" fontId="15" fillId="4" borderId="15" xfId="0" applyFont="1" applyFill="1" applyBorder="1" applyAlignment="1" applyProtection="1">
      <alignment horizontal="center" vertical="center" wrapText="1" readingOrder="2"/>
      <protection locked="0"/>
    </xf>
    <xf numFmtId="0" fontId="15" fillId="15" borderId="5" xfId="0" applyFont="1" applyFill="1" applyBorder="1" applyAlignment="1" applyProtection="1">
      <alignment horizontal="center" vertical="center" wrapText="1" readingOrder="2"/>
      <protection locked="0"/>
    </xf>
    <xf numFmtId="0" fontId="15" fillId="15" borderId="13" xfId="0" applyFont="1" applyFill="1" applyBorder="1" applyAlignment="1" applyProtection="1">
      <alignment horizontal="center" vertical="center" wrapText="1" readingOrder="2"/>
      <protection locked="0"/>
    </xf>
    <xf numFmtId="0" fontId="15" fillId="15" borderId="15" xfId="0" applyFont="1" applyFill="1" applyBorder="1" applyAlignment="1" applyProtection="1">
      <alignment horizontal="center" vertical="center" wrapText="1" readingOrder="2"/>
      <protection locked="0"/>
    </xf>
    <xf numFmtId="0" fontId="10" fillId="4" borderId="5" xfId="0" applyFont="1" applyFill="1" applyBorder="1" applyAlignment="1" applyProtection="1">
      <alignment horizontal="center" vertical="center" wrapText="1" readingOrder="2"/>
      <protection locked="0"/>
    </xf>
    <xf numFmtId="0" fontId="10" fillId="4" borderId="13" xfId="0" applyFont="1" applyFill="1" applyBorder="1" applyAlignment="1" applyProtection="1">
      <alignment horizontal="center" vertical="center" wrapText="1" readingOrder="2"/>
      <protection locked="0"/>
    </xf>
    <xf numFmtId="0" fontId="10" fillId="4" borderId="15" xfId="0" applyFont="1" applyFill="1" applyBorder="1" applyAlignment="1" applyProtection="1">
      <alignment horizontal="center" vertical="center" wrapText="1" readingOrder="2"/>
      <protection locked="0"/>
    </xf>
    <xf numFmtId="0" fontId="3" fillId="3" borderId="6" xfId="0" applyFont="1" applyFill="1" applyBorder="1" applyAlignment="1" applyProtection="1">
      <alignment horizontal="center" vertical="center" wrapText="1" readingOrder="2"/>
      <protection locked="0"/>
    </xf>
    <xf numFmtId="0" fontId="3" fillId="3" borderId="7" xfId="0" applyFont="1" applyFill="1" applyBorder="1" applyAlignment="1" applyProtection="1">
      <alignment horizontal="center" vertical="center" wrapText="1" readingOrder="2"/>
      <protection locked="0"/>
    </xf>
    <xf numFmtId="1" fontId="15" fillId="4" borderId="5" xfId="0" applyNumberFormat="1" applyFont="1" applyFill="1" applyBorder="1" applyAlignment="1" applyProtection="1">
      <alignment horizontal="center" vertical="center" wrapText="1" readingOrder="2"/>
      <protection hidden="1"/>
    </xf>
    <xf numFmtId="1" fontId="15" fillId="4" borderId="13" xfId="0" applyNumberFormat="1" applyFont="1" applyFill="1" applyBorder="1" applyAlignment="1" applyProtection="1">
      <alignment horizontal="center" vertical="center" wrapText="1" readingOrder="2"/>
      <protection hidden="1"/>
    </xf>
    <xf numFmtId="1" fontId="15" fillId="4" borderId="4" xfId="0" applyNumberFormat="1" applyFont="1" applyFill="1" applyBorder="1" applyAlignment="1" applyProtection="1">
      <alignment horizontal="center" vertical="center" wrapText="1" readingOrder="2"/>
      <protection hidden="1"/>
    </xf>
    <xf numFmtId="0" fontId="2" fillId="2" borderId="9" xfId="0" applyFont="1" applyFill="1" applyBorder="1" applyAlignment="1" applyProtection="1">
      <alignment horizontal="center" vertical="center" readingOrder="2"/>
      <protection locked="0"/>
    </xf>
    <xf numFmtId="0" fontId="2" fillId="2" borderId="16" xfId="0" applyFont="1" applyFill="1" applyBorder="1" applyAlignment="1" applyProtection="1">
      <alignment horizontal="center" vertical="center" readingOrder="2"/>
      <protection locked="0"/>
    </xf>
    <xf numFmtId="0" fontId="3" fillId="2" borderId="6" xfId="0" applyFont="1" applyFill="1" applyBorder="1" applyAlignment="1" applyProtection="1">
      <alignment horizontal="center" vertical="center" wrapText="1" readingOrder="2"/>
      <protection locked="0"/>
    </xf>
    <xf numFmtId="0" fontId="3" fillId="2" borderId="7" xfId="0" applyFont="1" applyFill="1" applyBorder="1" applyAlignment="1" applyProtection="1">
      <alignment horizontal="center" vertical="center" wrapText="1" readingOrder="2"/>
      <protection locked="0"/>
    </xf>
    <xf numFmtId="0" fontId="3" fillId="2" borderId="5" xfId="0" applyFont="1" applyFill="1" applyBorder="1" applyAlignment="1" applyProtection="1">
      <alignment horizontal="center" vertical="center" wrapText="1" readingOrder="2"/>
      <protection locked="0"/>
    </xf>
    <xf numFmtId="0" fontId="3" fillId="2" borderId="4" xfId="0" applyFont="1" applyFill="1" applyBorder="1" applyAlignment="1" applyProtection="1">
      <alignment horizontal="center" vertical="center" wrapText="1" readingOrder="2"/>
      <protection locked="0"/>
    </xf>
    <xf numFmtId="0" fontId="3" fillId="2" borderId="23" xfId="0" applyFont="1" applyFill="1" applyBorder="1" applyAlignment="1" applyProtection="1">
      <alignment horizontal="center" vertical="center" wrapText="1" readingOrder="2"/>
      <protection locked="0"/>
    </xf>
    <xf numFmtId="0" fontId="3" fillId="3" borderId="6" xfId="0" applyFont="1" applyFill="1" applyBorder="1" applyAlignment="1" applyProtection="1">
      <alignment horizontal="center" vertical="center" readingOrder="2"/>
      <protection locked="0"/>
    </xf>
    <xf numFmtId="0" fontId="3" fillId="3" borderId="7" xfId="0" applyFont="1" applyFill="1" applyBorder="1" applyAlignment="1" applyProtection="1">
      <alignment horizontal="center" vertical="center" readingOrder="2"/>
      <protection locked="0"/>
    </xf>
    <xf numFmtId="0" fontId="5" fillId="11" borderId="10" xfId="0" applyFont="1" applyFill="1" applyBorder="1" applyAlignment="1" applyProtection="1">
      <alignment horizontal="center" vertical="center"/>
      <protection locked="0"/>
    </xf>
    <xf numFmtId="0" fontId="9" fillId="0" borderId="1" xfId="0" applyFont="1" applyBorder="1" applyAlignment="1" applyProtection="1">
      <alignment horizontal="center" vertical="center"/>
      <protection locked="0"/>
    </xf>
    <xf numFmtId="0" fontId="9" fillId="0" borderId="11" xfId="0" applyFont="1" applyBorder="1" applyAlignment="1" applyProtection="1">
      <alignment horizontal="center" vertical="center"/>
      <protection locked="0"/>
    </xf>
    <xf numFmtId="0" fontId="5" fillId="5" borderId="10" xfId="0" applyFont="1" applyFill="1" applyBorder="1" applyAlignment="1" applyProtection="1">
      <alignment horizontal="center" vertical="center" wrapText="1"/>
      <protection locked="0"/>
    </xf>
    <xf numFmtId="1" fontId="5" fillId="5" borderId="10" xfId="0" applyNumberFormat="1" applyFont="1" applyFill="1" applyBorder="1" applyAlignment="1" applyProtection="1">
      <alignment horizontal="center" vertical="center"/>
      <protection locked="0"/>
    </xf>
    <xf numFmtId="0" fontId="5" fillId="7" borderId="1" xfId="0" applyFont="1" applyFill="1" applyBorder="1" applyAlignment="1" applyProtection="1">
      <alignment horizontal="center" vertical="center"/>
      <protection locked="0"/>
    </xf>
    <xf numFmtId="0" fontId="5" fillId="7" borderId="12" xfId="0" applyFont="1" applyFill="1" applyBorder="1" applyAlignment="1" applyProtection="1">
      <alignment horizontal="center" vertical="center"/>
      <protection locked="0"/>
    </xf>
    <xf numFmtId="0" fontId="5" fillId="7" borderId="11" xfId="0" applyFont="1" applyFill="1" applyBorder="1" applyAlignment="1" applyProtection="1">
      <alignment horizontal="center" vertical="center"/>
      <protection locked="0"/>
    </xf>
    <xf numFmtId="0" fontId="5" fillId="9" borderId="1" xfId="0" applyFont="1" applyFill="1" applyBorder="1" applyAlignment="1" applyProtection="1">
      <alignment horizontal="center" vertical="center"/>
      <protection locked="0"/>
    </xf>
    <xf numFmtId="0" fontId="5" fillId="9" borderId="12" xfId="0" applyFont="1" applyFill="1" applyBorder="1" applyAlignment="1" applyProtection="1">
      <alignment horizontal="center" vertical="center"/>
      <protection locked="0"/>
    </xf>
    <xf numFmtId="0" fontId="5" fillId="9" borderId="11" xfId="0" applyFont="1" applyFill="1" applyBorder="1" applyAlignment="1" applyProtection="1">
      <alignment horizontal="center" vertical="center"/>
      <protection locked="0"/>
    </xf>
    <xf numFmtId="0" fontId="14" fillId="5" borderId="2" xfId="0" applyFont="1" applyFill="1" applyBorder="1" applyAlignment="1" applyProtection="1">
      <alignment horizontal="center" vertical="center"/>
      <protection locked="0"/>
    </xf>
    <xf numFmtId="0" fontId="14" fillId="5" borderId="20" xfId="0" applyFont="1" applyFill="1" applyBorder="1" applyAlignment="1" applyProtection="1">
      <alignment horizontal="center" vertical="center"/>
      <protection locked="0"/>
    </xf>
    <xf numFmtId="0" fontId="14" fillId="5" borderId="21" xfId="0" applyFont="1" applyFill="1" applyBorder="1" applyAlignment="1" applyProtection="1">
      <alignment horizontal="center" vertical="center"/>
      <protection locked="0"/>
    </xf>
  </cellXfs>
  <cellStyles count="1">
    <cellStyle name="Normal" xfId="0" builtinId="0"/>
  </cellStyles>
  <dxfs count="44">
    <dxf>
      <fill>
        <patternFill>
          <bgColor theme="9" tint="0.59996337778862885"/>
        </patternFill>
      </fill>
    </dxf>
    <dxf>
      <fill>
        <patternFill>
          <bgColor theme="0"/>
        </patternFill>
      </fill>
    </dxf>
    <dxf>
      <fill>
        <patternFill>
          <bgColor theme="5" tint="0.59996337778862885"/>
        </patternFill>
      </fill>
    </dxf>
    <dxf>
      <fill>
        <patternFill>
          <bgColor theme="5" tint="0.79998168889431442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ill>
        <patternFill>
          <bgColor theme="9" tint="0.59996337778862885"/>
        </patternFill>
      </fill>
    </dxf>
    <dxf>
      <fill>
        <patternFill>
          <bgColor theme="0"/>
        </patternFill>
      </fill>
    </dxf>
    <dxf>
      <fill>
        <patternFill>
          <bgColor theme="5" tint="0.59996337778862885"/>
        </patternFill>
      </fill>
    </dxf>
    <dxf>
      <fill>
        <patternFill>
          <bgColor theme="9" tint="0.59996337778862885"/>
        </patternFill>
      </fill>
    </dxf>
    <dxf>
      <fill>
        <patternFill>
          <bgColor theme="0"/>
        </patternFill>
      </fill>
    </dxf>
    <dxf>
      <fill>
        <patternFill>
          <bgColor theme="5" tint="0.59996337778862885"/>
        </patternFill>
      </fill>
    </dxf>
    <dxf>
      <fill>
        <patternFill>
          <bgColor theme="5" tint="0.79998168889431442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Sheet1">
    <pageSetUpPr fitToPage="1"/>
  </sheetPr>
  <dimension ref="A1:IR519"/>
  <sheetViews>
    <sheetView rightToLeft="1" tabSelected="1" zoomScale="115" zoomScaleNormal="115" workbookViewId="0">
      <pane xSplit="8" ySplit="2" topLeftCell="I6" activePane="bottomRight" state="frozen"/>
      <selection pane="topRight" activeCell="I1" sqref="I1"/>
      <selection pane="bottomLeft" activeCell="A4" sqref="A4"/>
      <selection pane="bottomRight" activeCell="E12" sqref="E12"/>
    </sheetView>
  </sheetViews>
  <sheetFormatPr defaultColWidth="9" defaultRowHeight="16.5" customHeight="1" x14ac:dyDescent="0.25"/>
  <cols>
    <col min="1" max="1" width="5.140625" style="5" customWidth="1"/>
    <col min="2" max="2" width="12.42578125" style="5" customWidth="1"/>
    <col min="3" max="3" width="5.85546875" style="5" customWidth="1"/>
    <col min="4" max="4" width="9.140625" style="5" customWidth="1"/>
    <col min="5" max="5" width="11.42578125" style="1" customWidth="1"/>
    <col min="6" max="6" width="16.7109375" style="6" customWidth="1"/>
    <col min="7" max="7" width="20.28515625" style="5" customWidth="1"/>
    <col min="8" max="8" width="7.5703125" style="5" customWidth="1"/>
    <col min="9" max="10" width="7.42578125" style="6" customWidth="1"/>
    <col min="11" max="11" width="7.42578125" style="1" customWidth="1"/>
    <col min="12" max="12" width="6.140625" style="1" customWidth="1"/>
    <col min="13" max="13" width="5.5703125" style="1" customWidth="1"/>
    <col min="14" max="14" width="7.42578125" style="1" customWidth="1"/>
    <col min="15" max="15" width="4.7109375" style="7" customWidth="1"/>
    <col min="16" max="16" width="6.42578125" style="1" customWidth="1"/>
    <col min="17" max="17" width="6.140625" style="1" customWidth="1"/>
    <col min="18" max="18" width="6" style="1" customWidth="1"/>
    <col min="19" max="19" width="7" style="1" customWidth="1"/>
    <col min="20" max="20" width="8.42578125" style="7" customWidth="1"/>
    <col min="21" max="21" width="8.42578125" style="8" customWidth="1"/>
    <col min="22" max="22" width="7.7109375" style="8" customWidth="1"/>
    <col min="23" max="23" width="9.140625" style="12"/>
    <col min="24" max="24" width="9.42578125" style="12" customWidth="1"/>
    <col min="25" max="25" width="9.140625" style="12" customWidth="1"/>
    <col min="26" max="26" width="4.140625" style="1" hidden="1" customWidth="1"/>
    <col min="27" max="27" width="6.28515625" style="1" hidden="1" customWidth="1"/>
    <col min="28" max="28" width="8" style="1" customWidth="1"/>
    <col min="29" max="16384" width="9" style="1"/>
  </cols>
  <sheetData>
    <row r="1" spans="1:29" ht="27" customHeight="1" thickBot="1" x14ac:dyDescent="0.25">
      <c r="A1" s="149" t="s">
        <v>0</v>
      </c>
      <c r="B1" s="151" t="s">
        <v>1</v>
      </c>
      <c r="C1" s="151" t="s">
        <v>2</v>
      </c>
      <c r="D1" s="153" t="s">
        <v>3</v>
      </c>
      <c r="E1" s="154"/>
      <c r="F1" s="151" t="s">
        <v>4</v>
      </c>
      <c r="G1" s="151" t="s">
        <v>5</v>
      </c>
      <c r="H1" s="151" t="s">
        <v>6</v>
      </c>
      <c r="I1" s="151" t="s">
        <v>7</v>
      </c>
      <c r="J1" s="151" t="s">
        <v>590</v>
      </c>
      <c r="K1" s="144" t="s">
        <v>8</v>
      </c>
      <c r="L1" s="144" t="s">
        <v>9</v>
      </c>
      <c r="M1" s="144" t="s">
        <v>22</v>
      </c>
      <c r="N1" s="144" t="s">
        <v>10</v>
      </c>
      <c r="O1" s="144" t="s">
        <v>571</v>
      </c>
      <c r="P1" s="156" t="s">
        <v>11</v>
      </c>
      <c r="Q1" s="156" t="s">
        <v>12</v>
      </c>
      <c r="R1" s="156" t="s">
        <v>13</v>
      </c>
      <c r="S1" s="144" t="s">
        <v>14</v>
      </c>
      <c r="T1" s="144" t="s">
        <v>15</v>
      </c>
      <c r="U1" s="144" t="s">
        <v>21</v>
      </c>
      <c r="V1" s="144" t="s">
        <v>18</v>
      </c>
      <c r="W1" s="144" t="s">
        <v>16</v>
      </c>
      <c r="X1" s="144" t="s">
        <v>17</v>
      </c>
      <c r="Y1" s="156" t="s">
        <v>7</v>
      </c>
    </row>
    <row r="2" spans="1:29" ht="16.5" customHeight="1" thickBot="1" x14ac:dyDescent="0.25">
      <c r="A2" s="150"/>
      <c r="B2" s="152"/>
      <c r="C2" s="152"/>
      <c r="D2" s="9" t="s">
        <v>19</v>
      </c>
      <c r="E2" s="3" t="s">
        <v>20</v>
      </c>
      <c r="F2" s="152"/>
      <c r="G2" s="152"/>
      <c r="H2" s="152"/>
      <c r="I2" s="152"/>
      <c r="J2" s="155"/>
      <c r="K2" s="145"/>
      <c r="L2" s="145"/>
      <c r="M2" s="145"/>
      <c r="N2" s="145"/>
      <c r="O2" s="145"/>
      <c r="P2" s="157"/>
      <c r="Q2" s="157"/>
      <c r="R2" s="157"/>
      <c r="S2" s="145"/>
      <c r="T2" s="145"/>
      <c r="U2" s="145"/>
      <c r="V2" s="145"/>
      <c r="W2" s="145"/>
      <c r="X2" s="145"/>
      <c r="Y2" s="157"/>
    </row>
    <row r="3" spans="1:29" s="49" customFormat="1" ht="16.5" customHeight="1" thickBot="1" x14ac:dyDescent="0.25">
      <c r="A3" s="83">
        <v>1</v>
      </c>
      <c r="B3" s="59" t="s">
        <v>35</v>
      </c>
      <c r="C3" s="60" t="s">
        <v>36</v>
      </c>
      <c r="D3" s="60" t="s">
        <v>37</v>
      </c>
      <c r="E3" s="60" t="s">
        <v>38</v>
      </c>
      <c r="F3" s="60" t="s">
        <v>39</v>
      </c>
      <c r="G3" s="42" t="s">
        <v>600</v>
      </c>
      <c r="H3" s="46" t="s">
        <v>26</v>
      </c>
      <c r="I3" s="62" t="s">
        <v>573</v>
      </c>
      <c r="J3" s="69">
        <v>1985</v>
      </c>
      <c r="K3" s="66" t="s">
        <v>28</v>
      </c>
      <c r="L3" s="41">
        <v>3</v>
      </c>
      <c r="M3" s="41"/>
      <c r="N3" s="47">
        <v>1000</v>
      </c>
      <c r="O3" s="43">
        <f>MAX(P3:R3)-AVERAGE(P3:R3)</f>
        <v>5.3333333333333712</v>
      </c>
      <c r="P3" s="47">
        <v>522</v>
      </c>
      <c r="Q3" s="47">
        <v>526</v>
      </c>
      <c r="R3" s="47">
        <v>532</v>
      </c>
      <c r="S3" s="48">
        <f>1.44*N3</f>
        <v>1440</v>
      </c>
      <c r="T3" s="43">
        <f>(P3+Q3+R3)/3</f>
        <v>526.66666666666663</v>
      </c>
      <c r="U3" s="44">
        <f t="shared" ref="U3:U65" si="0">ROUND(((AVERAGE(P3,R3,Q3))/(N3*1.44))*100,0)</f>
        <v>37</v>
      </c>
      <c r="V3" s="45">
        <v>382</v>
      </c>
      <c r="W3" s="45">
        <v>2650</v>
      </c>
      <c r="X3" s="45" t="s">
        <v>41</v>
      </c>
      <c r="Y3" s="45" t="s">
        <v>42</v>
      </c>
      <c r="Z3" s="1">
        <f t="shared" ref="Z3:Z35" si="1">Q3-0.5*R3-0.5*P3</f>
        <v>-1</v>
      </c>
      <c r="AA3" s="1">
        <f t="shared" ref="AA3:AA35" si="2">SQRT(3)/2*R3-SQRT(3)/2*P3</f>
        <v>8.6602540378444246</v>
      </c>
    </row>
    <row r="4" spans="1:29" s="49" customFormat="1" ht="15.6" customHeight="1" thickBot="1" x14ac:dyDescent="0.25">
      <c r="A4" s="84">
        <v>2</v>
      </c>
      <c r="B4" s="59" t="s">
        <v>35</v>
      </c>
      <c r="C4" s="60" t="s">
        <v>36</v>
      </c>
      <c r="D4" s="60" t="s">
        <v>37</v>
      </c>
      <c r="E4" s="60" t="s">
        <v>38</v>
      </c>
      <c r="F4" s="60" t="s">
        <v>39</v>
      </c>
      <c r="G4" s="42" t="s">
        <v>397</v>
      </c>
      <c r="H4" s="46" t="s">
        <v>26</v>
      </c>
      <c r="I4" s="62" t="s">
        <v>573</v>
      </c>
      <c r="J4" s="70">
        <v>1985</v>
      </c>
      <c r="K4" s="66" t="s">
        <v>28</v>
      </c>
      <c r="L4" s="41">
        <v>3</v>
      </c>
      <c r="M4" s="41"/>
      <c r="N4" s="47">
        <v>1000</v>
      </c>
      <c r="O4" s="43">
        <f t="shared" ref="O4:O67" si="3">MAX(P4:R4)-AVERAGE(P4:R4)</f>
        <v>5.6666666666666288</v>
      </c>
      <c r="P4" s="47">
        <v>570</v>
      </c>
      <c r="Q4" s="47">
        <v>567</v>
      </c>
      <c r="R4" s="47">
        <v>556</v>
      </c>
      <c r="S4" s="48">
        <f t="shared" ref="S4:S7" si="4">1.44*N4</f>
        <v>1440</v>
      </c>
      <c r="T4" s="43">
        <f t="shared" ref="T4:T17" si="5">(P4+Q4+R4)/3</f>
        <v>564.33333333333337</v>
      </c>
      <c r="U4" s="44">
        <f t="shared" si="0"/>
        <v>39</v>
      </c>
      <c r="V4" s="45">
        <v>381</v>
      </c>
      <c r="W4" s="45">
        <v>2650</v>
      </c>
      <c r="X4" s="45" t="s">
        <v>41</v>
      </c>
      <c r="Y4" s="45" t="s">
        <v>42</v>
      </c>
      <c r="Z4" s="1">
        <f t="shared" si="1"/>
        <v>4</v>
      </c>
      <c r="AA4" s="1">
        <f t="shared" si="2"/>
        <v>-12.124355652982103</v>
      </c>
    </row>
    <row r="5" spans="1:29" s="49" customFormat="1" ht="16.5" customHeight="1" thickBot="1" x14ac:dyDescent="0.25">
      <c r="A5" s="84">
        <v>3</v>
      </c>
      <c r="B5" s="59" t="s">
        <v>35</v>
      </c>
      <c r="C5" s="60" t="s">
        <v>36</v>
      </c>
      <c r="D5" s="60" t="s">
        <v>37</v>
      </c>
      <c r="E5" s="60" t="s">
        <v>38</v>
      </c>
      <c r="F5" s="60" t="s">
        <v>39</v>
      </c>
      <c r="G5" s="42" t="s">
        <v>398</v>
      </c>
      <c r="H5" s="46" t="s">
        <v>26</v>
      </c>
      <c r="I5" s="46"/>
      <c r="J5" s="71">
        <v>2009</v>
      </c>
      <c r="K5" s="66" t="s">
        <v>25</v>
      </c>
      <c r="L5" s="41">
        <v>3</v>
      </c>
      <c r="M5" s="41"/>
      <c r="N5" s="47">
        <v>500</v>
      </c>
      <c r="O5" s="43">
        <f t="shared" si="3"/>
        <v>5.6666666666666856</v>
      </c>
      <c r="P5" s="47">
        <v>282</v>
      </c>
      <c r="Q5" s="47">
        <v>275</v>
      </c>
      <c r="R5" s="47">
        <v>287</v>
      </c>
      <c r="S5" s="48">
        <f t="shared" si="4"/>
        <v>720</v>
      </c>
      <c r="T5" s="43">
        <f t="shared" si="5"/>
        <v>281.33333333333331</v>
      </c>
      <c r="U5" s="44">
        <f t="shared" si="0"/>
        <v>39</v>
      </c>
      <c r="V5" s="45">
        <v>382</v>
      </c>
      <c r="W5" s="45">
        <v>2650</v>
      </c>
      <c r="X5" s="45" t="s">
        <v>41</v>
      </c>
      <c r="Y5" s="45" t="s">
        <v>42</v>
      </c>
      <c r="Z5" s="1">
        <f t="shared" si="1"/>
        <v>-9.5</v>
      </c>
      <c r="AA5" s="1">
        <f t="shared" si="2"/>
        <v>4.3301270189222123</v>
      </c>
      <c r="AC5" s="49">
        <f>COUNTIF(U3:U881,"&lt;=40")</f>
        <v>258</v>
      </c>
    </row>
    <row r="6" spans="1:29" s="49" customFormat="1" ht="16.5" customHeight="1" thickBot="1" x14ac:dyDescent="0.25">
      <c r="A6" s="84">
        <v>4</v>
      </c>
      <c r="B6" s="59" t="s">
        <v>35</v>
      </c>
      <c r="C6" s="60" t="s">
        <v>36</v>
      </c>
      <c r="D6" s="60" t="s">
        <v>37</v>
      </c>
      <c r="E6" s="60" t="s">
        <v>38</v>
      </c>
      <c r="F6" s="60" t="s">
        <v>39</v>
      </c>
      <c r="G6" s="42" t="s">
        <v>611</v>
      </c>
      <c r="H6" s="46" t="s">
        <v>26</v>
      </c>
      <c r="I6" s="63"/>
      <c r="J6" s="71"/>
      <c r="K6" s="66" t="s">
        <v>25</v>
      </c>
      <c r="L6" s="41">
        <v>3</v>
      </c>
      <c r="M6" s="41"/>
      <c r="N6" s="47">
        <v>500</v>
      </c>
      <c r="O6" s="43">
        <f t="shared" si="3"/>
        <v>7</v>
      </c>
      <c r="P6" s="47">
        <v>260</v>
      </c>
      <c r="Q6" s="47">
        <v>255</v>
      </c>
      <c r="R6" s="47">
        <v>268</v>
      </c>
      <c r="S6" s="48">
        <f t="shared" si="4"/>
        <v>720</v>
      </c>
      <c r="T6" s="43">
        <f t="shared" si="5"/>
        <v>261</v>
      </c>
      <c r="U6" s="44">
        <f t="shared" si="0"/>
        <v>36</v>
      </c>
      <c r="V6" s="45">
        <v>382</v>
      </c>
      <c r="W6" s="45">
        <v>2650</v>
      </c>
      <c r="X6" s="45" t="s">
        <v>41</v>
      </c>
      <c r="Y6" s="45" t="s">
        <v>42</v>
      </c>
      <c r="Z6" s="1"/>
      <c r="AA6" s="1"/>
    </row>
    <row r="7" spans="1:29" s="49" customFormat="1" ht="16.5" customHeight="1" thickBot="1" x14ac:dyDescent="0.25">
      <c r="A7" s="98">
        <v>5</v>
      </c>
      <c r="B7" s="102" t="s">
        <v>35</v>
      </c>
      <c r="C7" s="103" t="s">
        <v>36</v>
      </c>
      <c r="D7" s="103" t="s">
        <v>37</v>
      </c>
      <c r="E7" s="103" t="s">
        <v>38</v>
      </c>
      <c r="F7" s="103" t="s">
        <v>45</v>
      </c>
      <c r="G7" s="99" t="s">
        <v>556</v>
      </c>
      <c r="H7" s="115" t="s">
        <v>23</v>
      </c>
      <c r="I7" s="121"/>
      <c r="J7" s="122"/>
      <c r="K7" s="116" t="s">
        <v>25</v>
      </c>
      <c r="L7" s="103">
        <v>3</v>
      </c>
      <c r="M7" s="103">
        <v>4</v>
      </c>
      <c r="N7" s="117">
        <v>500</v>
      </c>
      <c r="O7" s="118">
        <f t="shared" si="3"/>
        <v>5.3333333333333144</v>
      </c>
      <c r="P7" s="117">
        <v>321</v>
      </c>
      <c r="Q7" s="117">
        <v>328</v>
      </c>
      <c r="R7" s="117">
        <v>319</v>
      </c>
      <c r="S7" s="120">
        <f t="shared" si="4"/>
        <v>720</v>
      </c>
      <c r="T7" s="118">
        <f t="shared" si="5"/>
        <v>322.66666666666669</v>
      </c>
      <c r="U7" s="100">
        <f t="shared" ref="U7" si="6">ROUND(((AVERAGE(P7,R7,Q7))/(N7*1.44))*100,0)</f>
        <v>45</v>
      </c>
      <c r="V7" s="104">
        <v>382</v>
      </c>
      <c r="W7" s="104">
        <v>2650</v>
      </c>
      <c r="X7" s="104" t="s">
        <v>41</v>
      </c>
      <c r="Y7" s="104" t="s">
        <v>42</v>
      </c>
      <c r="Z7" s="1">
        <f t="shared" si="1"/>
        <v>8</v>
      </c>
      <c r="AA7" s="1">
        <f t="shared" si="2"/>
        <v>-1.7320508075688963</v>
      </c>
      <c r="AC7" s="49">
        <f>COUNTIF(U3:U881,"&gt;80")</f>
        <v>1</v>
      </c>
    </row>
    <row r="8" spans="1:29" s="49" customFormat="1" ht="16.5" customHeight="1" thickBot="1" x14ac:dyDescent="0.25">
      <c r="A8" s="98">
        <v>6</v>
      </c>
      <c r="B8" s="102" t="s">
        <v>35</v>
      </c>
      <c r="C8" s="103" t="s">
        <v>36</v>
      </c>
      <c r="D8" s="103" t="s">
        <v>37</v>
      </c>
      <c r="E8" s="103" t="s">
        <v>38</v>
      </c>
      <c r="F8" s="103" t="s">
        <v>45</v>
      </c>
      <c r="G8" s="99" t="s">
        <v>47</v>
      </c>
      <c r="H8" s="115" t="s">
        <v>23</v>
      </c>
      <c r="I8" s="121" t="s">
        <v>573</v>
      </c>
      <c r="J8" s="122">
        <v>2020</v>
      </c>
      <c r="K8" s="116" t="s">
        <v>25</v>
      </c>
      <c r="L8" s="103">
        <v>3</v>
      </c>
      <c r="M8" s="103">
        <v>4</v>
      </c>
      <c r="N8" s="117">
        <v>800</v>
      </c>
      <c r="O8" s="118">
        <f t="shared" si="3"/>
        <v>4</v>
      </c>
      <c r="P8" s="117">
        <v>379</v>
      </c>
      <c r="Q8" s="117">
        <v>373</v>
      </c>
      <c r="R8" s="117">
        <v>382</v>
      </c>
      <c r="S8" s="120">
        <f t="shared" ref="S8:S16" si="7">1.44*N8</f>
        <v>1152</v>
      </c>
      <c r="T8" s="118">
        <f t="shared" si="5"/>
        <v>378</v>
      </c>
      <c r="U8" s="100">
        <f t="shared" si="0"/>
        <v>33</v>
      </c>
      <c r="V8" s="104">
        <v>381</v>
      </c>
      <c r="W8" s="104">
        <v>2650</v>
      </c>
      <c r="X8" s="104" t="s">
        <v>41</v>
      </c>
      <c r="Y8" s="104" t="s">
        <v>42</v>
      </c>
      <c r="Z8" s="1">
        <f t="shared" si="1"/>
        <v>-7.5</v>
      </c>
      <c r="AA8" s="1">
        <f t="shared" si="2"/>
        <v>2.598076211353316</v>
      </c>
    </row>
    <row r="9" spans="1:29" s="49" customFormat="1" ht="16.5" customHeight="1" thickBot="1" x14ac:dyDescent="0.25">
      <c r="A9" s="84">
        <v>7</v>
      </c>
      <c r="B9" s="52" t="s">
        <v>35</v>
      </c>
      <c r="C9" s="41" t="s">
        <v>36</v>
      </c>
      <c r="D9" s="41" t="s">
        <v>37</v>
      </c>
      <c r="E9" s="41" t="s">
        <v>38</v>
      </c>
      <c r="F9" s="41" t="s">
        <v>45</v>
      </c>
      <c r="G9" s="42" t="s">
        <v>48</v>
      </c>
      <c r="H9" s="46" t="s">
        <v>23</v>
      </c>
      <c r="I9" s="63"/>
      <c r="J9" s="71"/>
      <c r="K9" s="66" t="s">
        <v>25</v>
      </c>
      <c r="L9" s="41">
        <v>3</v>
      </c>
      <c r="M9" s="41">
        <v>4</v>
      </c>
      <c r="N9" s="47">
        <v>500</v>
      </c>
      <c r="O9" s="43">
        <f t="shared" si="3"/>
        <v>5.3333333333333144</v>
      </c>
      <c r="P9" s="47">
        <v>325</v>
      </c>
      <c r="Q9" s="47">
        <v>314</v>
      </c>
      <c r="R9" s="47">
        <v>320</v>
      </c>
      <c r="S9" s="48">
        <f t="shared" si="7"/>
        <v>720</v>
      </c>
      <c r="T9" s="43">
        <f t="shared" si="5"/>
        <v>319.66666666666669</v>
      </c>
      <c r="U9" s="44">
        <f t="shared" si="0"/>
        <v>44</v>
      </c>
      <c r="V9" s="45">
        <v>381</v>
      </c>
      <c r="W9" s="45">
        <v>2650</v>
      </c>
      <c r="X9" s="45" t="s">
        <v>41</v>
      </c>
      <c r="Y9" s="45" t="s">
        <v>42</v>
      </c>
      <c r="Z9" s="1">
        <f t="shared" si="1"/>
        <v>-8.5</v>
      </c>
      <c r="AA9" s="1">
        <f t="shared" si="2"/>
        <v>-4.3301270189222123</v>
      </c>
    </row>
    <row r="10" spans="1:29" s="49" customFormat="1" ht="16.5" customHeight="1" thickBot="1" x14ac:dyDescent="0.25">
      <c r="A10" s="98">
        <v>8</v>
      </c>
      <c r="B10" s="102" t="s">
        <v>35</v>
      </c>
      <c r="C10" s="103" t="s">
        <v>36</v>
      </c>
      <c r="D10" s="103" t="s">
        <v>37</v>
      </c>
      <c r="E10" s="103" t="s">
        <v>38</v>
      </c>
      <c r="F10" s="103" t="s">
        <v>45</v>
      </c>
      <c r="G10" s="99" t="s">
        <v>49</v>
      </c>
      <c r="H10" s="115" t="s">
        <v>23</v>
      </c>
      <c r="I10" s="121" t="s">
        <v>591</v>
      </c>
      <c r="J10" s="122">
        <v>2002</v>
      </c>
      <c r="K10" s="116" t="s">
        <v>25</v>
      </c>
      <c r="L10" s="103">
        <v>3</v>
      </c>
      <c r="M10" s="103">
        <v>4</v>
      </c>
      <c r="N10" s="117">
        <v>500</v>
      </c>
      <c r="O10" s="118">
        <f t="shared" si="3"/>
        <v>6.3333333333333144</v>
      </c>
      <c r="P10" s="117">
        <v>295</v>
      </c>
      <c r="Q10" s="117">
        <v>290</v>
      </c>
      <c r="R10" s="117">
        <v>281</v>
      </c>
      <c r="S10" s="120">
        <f t="shared" si="7"/>
        <v>720</v>
      </c>
      <c r="T10" s="118">
        <f t="shared" si="5"/>
        <v>288.66666666666669</v>
      </c>
      <c r="U10" s="100">
        <f t="shared" si="0"/>
        <v>40</v>
      </c>
      <c r="V10" s="104">
        <v>380</v>
      </c>
      <c r="W10" s="104">
        <v>2650</v>
      </c>
      <c r="X10" s="104" t="s">
        <v>41</v>
      </c>
      <c r="Y10" s="104" t="s">
        <v>42</v>
      </c>
      <c r="Z10" s="1"/>
      <c r="AA10" s="1"/>
    </row>
    <row r="11" spans="1:29" s="49" customFormat="1" ht="16.5" customHeight="1" thickBot="1" x14ac:dyDescent="0.25">
      <c r="A11" s="98">
        <v>9</v>
      </c>
      <c r="B11" s="102" t="s">
        <v>35</v>
      </c>
      <c r="C11" s="103" t="s">
        <v>36</v>
      </c>
      <c r="D11" s="103" t="s">
        <v>37</v>
      </c>
      <c r="E11" s="103" t="s">
        <v>38</v>
      </c>
      <c r="F11" s="103" t="s">
        <v>45</v>
      </c>
      <c r="G11" s="99" t="s">
        <v>53</v>
      </c>
      <c r="H11" s="115" t="s">
        <v>23</v>
      </c>
      <c r="I11" s="107"/>
      <c r="J11" s="108"/>
      <c r="K11" s="116" t="s">
        <v>28</v>
      </c>
      <c r="L11" s="103">
        <v>3</v>
      </c>
      <c r="M11" s="103">
        <v>4</v>
      </c>
      <c r="N11" s="117">
        <v>800</v>
      </c>
      <c r="O11" s="118">
        <f t="shared" si="3"/>
        <v>5</v>
      </c>
      <c r="P11" s="117">
        <v>413</v>
      </c>
      <c r="Q11" s="117">
        <v>401</v>
      </c>
      <c r="R11" s="117">
        <v>410</v>
      </c>
      <c r="S11" s="120">
        <f t="shared" si="7"/>
        <v>1152</v>
      </c>
      <c r="T11" s="118">
        <f t="shared" si="5"/>
        <v>408</v>
      </c>
      <c r="U11" s="100">
        <f t="shared" si="0"/>
        <v>35</v>
      </c>
      <c r="V11" s="104">
        <v>382</v>
      </c>
      <c r="W11" s="104">
        <v>2650</v>
      </c>
      <c r="X11" s="104" t="s">
        <v>41</v>
      </c>
      <c r="Y11" s="104" t="s">
        <v>42</v>
      </c>
      <c r="Z11" s="1"/>
      <c r="AA11" s="1"/>
    </row>
    <row r="12" spans="1:29" s="49" customFormat="1" ht="16.5" customHeight="1" thickBot="1" x14ac:dyDescent="0.25">
      <c r="A12" s="98">
        <v>10</v>
      </c>
      <c r="B12" s="102" t="s">
        <v>35</v>
      </c>
      <c r="C12" s="103" t="s">
        <v>36</v>
      </c>
      <c r="D12" s="103" t="s">
        <v>37</v>
      </c>
      <c r="E12" s="103" t="s">
        <v>38</v>
      </c>
      <c r="F12" s="103" t="s">
        <v>45</v>
      </c>
      <c r="G12" s="99" t="s">
        <v>558</v>
      </c>
      <c r="H12" s="115" t="s">
        <v>23</v>
      </c>
      <c r="I12" s="107"/>
      <c r="J12" s="108"/>
      <c r="K12" s="116" t="s">
        <v>28</v>
      </c>
      <c r="L12" s="103">
        <v>3</v>
      </c>
      <c r="M12" s="103"/>
      <c r="N12" s="117">
        <v>1000</v>
      </c>
      <c r="O12" s="118">
        <f t="shared" si="3"/>
        <v>5.6666666666666856</v>
      </c>
      <c r="P12" s="117">
        <v>435</v>
      </c>
      <c r="Q12" s="117">
        <v>438</v>
      </c>
      <c r="R12" s="117">
        <v>445</v>
      </c>
      <c r="S12" s="120">
        <f t="shared" si="7"/>
        <v>1440</v>
      </c>
      <c r="T12" s="118">
        <f t="shared" si="5"/>
        <v>439.33333333333331</v>
      </c>
      <c r="U12" s="100">
        <f t="shared" si="0"/>
        <v>31</v>
      </c>
      <c r="V12" s="104">
        <v>381</v>
      </c>
      <c r="W12" s="104">
        <v>2650</v>
      </c>
      <c r="X12" s="104" t="s">
        <v>41</v>
      </c>
      <c r="Y12" s="104" t="s">
        <v>42</v>
      </c>
      <c r="Z12" s="1"/>
      <c r="AA12" s="1"/>
    </row>
    <row r="13" spans="1:29" s="49" customFormat="1" ht="16.5" customHeight="1" thickBot="1" x14ac:dyDescent="0.25">
      <c r="A13" s="98">
        <v>11</v>
      </c>
      <c r="B13" s="102" t="s">
        <v>35</v>
      </c>
      <c r="C13" s="103" t="s">
        <v>36</v>
      </c>
      <c r="D13" s="103" t="s">
        <v>37</v>
      </c>
      <c r="E13" s="103" t="s">
        <v>38</v>
      </c>
      <c r="F13" s="103" t="s">
        <v>45</v>
      </c>
      <c r="G13" s="99" t="s">
        <v>50</v>
      </c>
      <c r="H13" s="115" t="s">
        <v>23</v>
      </c>
      <c r="I13" s="121"/>
      <c r="J13" s="122"/>
      <c r="K13" s="116" t="s">
        <v>25</v>
      </c>
      <c r="L13" s="103">
        <v>3</v>
      </c>
      <c r="M13" s="103">
        <v>2</v>
      </c>
      <c r="N13" s="117">
        <v>500</v>
      </c>
      <c r="O13" s="118">
        <f t="shared" si="3"/>
        <v>6</v>
      </c>
      <c r="P13" s="117">
        <v>259</v>
      </c>
      <c r="Q13" s="117">
        <v>249</v>
      </c>
      <c r="R13" s="117">
        <v>251</v>
      </c>
      <c r="S13" s="120">
        <f t="shared" si="7"/>
        <v>720</v>
      </c>
      <c r="T13" s="118">
        <f t="shared" si="5"/>
        <v>253</v>
      </c>
      <c r="U13" s="100">
        <f t="shared" si="0"/>
        <v>35</v>
      </c>
      <c r="V13" s="104">
        <v>382</v>
      </c>
      <c r="W13" s="104">
        <v>2650</v>
      </c>
      <c r="X13" s="104" t="s">
        <v>41</v>
      </c>
      <c r="Y13" s="104" t="s">
        <v>42</v>
      </c>
      <c r="Z13" s="1"/>
      <c r="AA13" s="1"/>
    </row>
    <row r="14" spans="1:29" s="49" customFormat="1" ht="16.5" customHeight="1" thickBot="1" x14ac:dyDescent="0.25">
      <c r="A14" s="98">
        <v>12</v>
      </c>
      <c r="B14" s="102" t="s">
        <v>35</v>
      </c>
      <c r="C14" s="103" t="s">
        <v>36</v>
      </c>
      <c r="D14" s="103" t="s">
        <v>37</v>
      </c>
      <c r="E14" s="103" t="s">
        <v>38</v>
      </c>
      <c r="F14" s="103" t="s">
        <v>45</v>
      </c>
      <c r="G14" s="99" t="s">
        <v>51</v>
      </c>
      <c r="H14" s="115" t="s">
        <v>23</v>
      </c>
      <c r="I14" s="121"/>
      <c r="J14" s="122"/>
      <c r="K14" s="116" t="s">
        <v>25</v>
      </c>
      <c r="L14" s="103">
        <v>3</v>
      </c>
      <c r="M14" s="103">
        <v>4</v>
      </c>
      <c r="N14" s="117">
        <v>500</v>
      </c>
      <c r="O14" s="118">
        <f t="shared" si="3"/>
        <v>6</v>
      </c>
      <c r="P14" s="117">
        <v>406</v>
      </c>
      <c r="Q14" s="117">
        <v>416</v>
      </c>
      <c r="R14" s="117">
        <v>408</v>
      </c>
      <c r="S14" s="120">
        <f t="shared" si="7"/>
        <v>720</v>
      </c>
      <c r="T14" s="118">
        <f t="shared" si="5"/>
        <v>410</v>
      </c>
      <c r="U14" s="100">
        <f t="shared" si="0"/>
        <v>57</v>
      </c>
      <c r="V14" s="104">
        <v>380</v>
      </c>
      <c r="W14" s="104">
        <v>2650</v>
      </c>
      <c r="X14" s="104" t="s">
        <v>41</v>
      </c>
      <c r="Y14" s="104" t="s">
        <v>42</v>
      </c>
      <c r="Z14" s="1"/>
      <c r="AA14" s="1"/>
    </row>
    <row r="15" spans="1:29" s="49" customFormat="1" ht="16.5" customHeight="1" thickBot="1" x14ac:dyDescent="0.25">
      <c r="A15" s="84">
        <v>13</v>
      </c>
      <c r="B15" s="52" t="s">
        <v>35</v>
      </c>
      <c r="C15" s="41" t="s">
        <v>36</v>
      </c>
      <c r="D15" s="41" t="s">
        <v>37</v>
      </c>
      <c r="E15" s="41" t="s">
        <v>38</v>
      </c>
      <c r="F15" s="41" t="s">
        <v>54</v>
      </c>
      <c r="G15" s="42" t="s">
        <v>587</v>
      </c>
      <c r="H15" s="46" t="s">
        <v>23</v>
      </c>
      <c r="I15" s="64" t="s">
        <v>573</v>
      </c>
      <c r="J15" s="72">
        <v>2012</v>
      </c>
      <c r="K15" s="66" t="s">
        <v>28</v>
      </c>
      <c r="L15" s="41">
        <v>3</v>
      </c>
      <c r="M15" s="41"/>
      <c r="N15" s="47">
        <v>1500</v>
      </c>
      <c r="O15" s="43">
        <f t="shared" si="3"/>
        <v>5.3333333333333712</v>
      </c>
      <c r="P15" s="47">
        <v>691</v>
      </c>
      <c r="Q15" s="47">
        <v>686</v>
      </c>
      <c r="R15" s="47">
        <v>680</v>
      </c>
      <c r="S15" s="48">
        <f t="shared" si="7"/>
        <v>2160</v>
      </c>
      <c r="T15" s="43">
        <f t="shared" si="5"/>
        <v>685.66666666666663</v>
      </c>
      <c r="U15" s="44">
        <f t="shared" si="0"/>
        <v>32</v>
      </c>
      <c r="V15" s="45">
        <v>381</v>
      </c>
      <c r="W15" s="45">
        <v>2600</v>
      </c>
      <c r="X15" s="45" t="s">
        <v>41</v>
      </c>
      <c r="Y15" s="45" t="s">
        <v>42</v>
      </c>
      <c r="Z15" s="1"/>
      <c r="AA15" s="1"/>
    </row>
    <row r="16" spans="1:29" s="49" customFormat="1" ht="16.5" customHeight="1" thickBot="1" x14ac:dyDescent="0.25">
      <c r="A16" s="84">
        <v>14</v>
      </c>
      <c r="B16" s="52" t="s">
        <v>35</v>
      </c>
      <c r="C16" s="41" t="s">
        <v>36</v>
      </c>
      <c r="D16" s="41" t="s">
        <v>37</v>
      </c>
      <c r="E16" s="41" t="s">
        <v>38</v>
      </c>
      <c r="F16" s="41" t="s">
        <v>54</v>
      </c>
      <c r="G16" s="42" t="s">
        <v>588</v>
      </c>
      <c r="H16" s="46" t="s">
        <v>23</v>
      </c>
      <c r="I16" s="64"/>
      <c r="J16" s="72"/>
      <c r="K16" s="66" t="s">
        <v>28</v>
      </c>
      <c r="L16" s="41">
        <v>3</v>
      </c>
      <c r="M16" s="41"/>
      <c r="N16" s="47">
        <v>1000</v>
      </c>
      <c r="O16" s="43">
        <f t="shared" si="3"/>
        <v>6.3333333333333144</v>
      </c>
      <c r="P16" s="47">
        <v>496</v>
      </c>
      <c r="Q16" s="47">
        <v>503</v>
      </c>
      <c r="R16" s="47">
        <v>491</v>
      </c>
      <c r="S16" s="48">
        <f t="shared" si="7"/>
        <v>1440</v>
      </c>
      <c r="T16" s="43">
        <f t="shared" si="5"/>
        <v>496.66666666666669</v>
      </c>
      <c r="U16" s="44">
        <f t="shared" si="0"/>
        <v>34</v>
      </c>
      <c r="V16" s="45">
        <v>382</v>
      </c>
      <c r="W16" s="45">
        <v>2600</v>
      </c>
      <c r="X16" s="45" t="s">
        <v>41</v>
      </c>
      <c r="Y16" s="45" t="s">
        <v>42</v>
      </c>
      <c r="Z16" s="1"/>
      <c r="AA16" s="1"/>
    </row>
    <row r="17" spans="1:27" s="49" customFormat="1" ht="16.5" customHeight="1" thickBot="1" x14ac:dyDescent="0.25">
      <c r="A17" s="84">
        <v>15</v>
      </c>
      <c r="B17" s="52" t="s">
        <v>35</v>
      </c>
      <c r="C17" s="41" t="s">
        <v>36</v>
      </c>
      <c r="D17" s="41" t="s">
        <v>37</v>
      </c>
      <c r="E17" s="41" t="s">
        <v>38</v>
      </c>
      <c r="F17" s="41" t="s">
        <v>54</v>
      </c>
      <c r="G17" s="42" t="s">
        <v>55</v>
      </c>
      <c r="H17" s="46" t="s">
        <v>23</v>
      </c>
      <c r="I17" s="63"/>
      <c r="J17" s="71"/>
      <c r="K17" s="66" t="s">
        <v>25</v>
      </c>
      <c r="L17" s="41">
        <v>3</v>
      </c>
      <c r="M17" s="41">
        <v>2</v>
      </c>
      <c r="N17" s="47">
        <v>300</v>
      </c>
      <c r="O17" s="43">
        <f t="shared" si="3"/>
        <v>5.3333333333333428</v>
      </c>
      <c r="P17" s="47">
        <v>138</v>
      </c>
      <c r="Q17" s="47">
        <v>145</v>
      </c>
      <c r="R17" s="47">
        <v>136</v>
      </c>
      <c r="S17" s="48">
        <f t="shared" ref="S17:S35" si="8">1.44*N17</f>
        <v>432</v>
      </c>
      <c r="T17" s="43">
        <f t="shared" si="5"/>
        <v>139.66666666666666</v>
      </c>
      <c r="U17" s="44">
        <f t="shared" si="0"/>
        <v>32</v>
      </c>
      <c r="V17" s="45">
        <v>383</v>
      </c>
      <c r="W17" s="45">
        <v>2525</v>
      </c>
      <c r="X17" s="45" t="s">
        <v>56</v>
      </c>
      <c r="Y17" s="45" t="s">
        <v>42</v>
      </c>
      <c r="Z17" s="1">
        <f t="shared" si="1"/>
        <v>8</v>
      </c>
      <c r="AA17" s="1">
        <f t="shared" si="2"/>
        <v>-1.7320508075688679</v>
      </c>
    </row>
    <row r="18" spans="1:27" s="49" customFormat="1" ht="16.5" customHeight="1" thickBot="1" x14ac:dyDescent="0.25">
      <c r="A18" s="98">
        <v>16</v>
      </c>
      <c r="B18" s="102" t="s">
        <v>35</v>
      </c>
      <c r="C18" s="103" t="s">
        <v>36</v>
      </c>
      <c r="D18" s="103" t="s">
        <v>37</v>
      </c>
      <c r="E18" s="103" t="s">
        <v>38</v>
      </c>
      <c r="F18" s="103" t="s">
        <v>54</v>
      </c>
      <c r="G18" s="99" t="s">
        <v>57</v>
      </c>
      <c r="H18" s="115" t="s">
        <v>23</v>
      </c>
      <c r="I18" s="121"/>
      <c r="J18" s="122"/>
      <c r="K18" s="116" t="s">
        <v>25</v>
      </c>
      <c r="L18" s="103">
        <v>3</v>
      </c>
      <c r="M18" s="103">
        <v>4</v>
      </c>
      <c r="N18" s="117">
        <v>500</v>
      </c>
      <c r="O18" s="118">
        <f t="shared" si="3"/>
        <v>5.3333333333333144</v>
      </c>
      <c r="P18" s="117">
        <v>453</v>
      </c>
      <c r="Q18" s="117">
        <v>460</v>
      </c>
      <c r="R18" s="117">
        <v>451</v>
      </c>
      <c r="S18" s="120">
        <f t="shared" si="8"/>
        <v>720</v>
      </c>
      <c r="T18" s="118">
        <f t="shared" ref="T18:T35" si="9">(R18+Q18+P18)/3</f>
        <v>454.66666666666669</v>
      </c>
      <c r="U18" s="100">
        <f t="shared" si="0"/>
        <v>63</v>
      </c>
      <c r="V18" s="104">
        <v>383</v>
      </c>
      <c r="W18" s="104">
        <v>2525</v>
      </c>
      <c r="X18" s="104" t="s">
        <v>56</v>
      </c>
      <c r="Y18" s="104" t="s">
        <v>42</v>
      </c>
      <c r="Z18" s="1">
        <f t="shared" si="1"/>
        <v>8</v>
      </c>
      <c r="AA18" s="1">
        <f t="shared" si="2"/>
        <v>-1.7320508075688394</v>
      </c>
    </row>
    <row r="19" spans="1:27" s="49" customFormat="1" ht="16.5" customHeight="1" thickBot="1" x14ac:dyDescent="0.25">
      <c r="A19" s="84">
        <v>17</v>
      </c>
      <c r="B19" s="52" t="s">
        <v>35</v>
      </c>
      <c r="C19" s="41" t="s">
        <v>36</v>
      </c>
      <c r="D19" s="41" t="s">
        <v>37</v>
      </c>
      <c r="E19" s="41" t="s">
        <v>38</v>
      </c>
      <c r="F19" s="41" t="s">
        <v>54</v>
      </c>
      <c r="G19" s="42" t="s">
        <v>58</v>
      </c>
      <c r="H19" s="46" t="s">
        <v>23</v>
      </c>
      <c r="I19" s="62"/>
      <c r="J19" s="70"/>
      <c r="K19" s="66" t="s">
        <v>28</v>
      </c>
      <c r="L19" s="41">
        <v>3</v>
      </c>
      <c r="M19" s="41"/>
      <c r="N19" s="47">
        <v>100</v>
      </c>
      <c r="O19" s="43">
        <f t="shared" si="3"/>
        <v>3.3333333333333286</v>
      </c>
      <c r="P19" s="47">
        <v>65</v>
      </c>
      <c r="Q19" s="47">
        <v>61</v>
      </c>
      <c r="R19" s="47">
        <v>68</v>
      </c>
      <c r="S19" s="48">
        <f t="shared" si="8"/>
        <v>144</v>
      </c>
      <c r="T19" s="43">
        <f t="shared" si="9"/>
        <v>64.666666666666671</v>
      </c>
      <c r="U19" s="44">
        <f t="shared" si="0"/>
        <v>45</v>
      </c>
      <c r="V19" s="45">
        <v>382</v>
      </c>
      <c r="W19" s="45">
        <v>2525</v>
      </c>
      <c r="X19" s="45" t="s">
        <v>56</v>
      </c>
      <c r="Y19" s="45" t="s">
        <v>42</v>
      </c>
      <c r="Z19" s="1">
        <f t="shared" si="1"/>
        <v>-5.5</v>
      </c>
      <c r="AA19" s="1">
        <f t="shared" si="2"/>
        <v>2.598076211353316</v>
      </c>
    </row>
    <row r="20" spans="1:27" s="49" customFormat="1" ht="16.5" customHeight="1" thickBot="1" x14ac:dyDescent="0.25">
      <c r="A20" s="98">
        <v>18</v>
      </c>
      <c r="B20" s="102" t="s">
        <v>35</v>
      </c>
      <c r="C20" s="103" t="s">
        <v>36</v>
      </c>
      <c r="D20" s="103" t="s">
        <v>37</v>
      </c>
      <c r="E20" s="103" t="s">
        <v>38</v>
      </c>
      <c r="F20" s="103" t="s">
        <v>54</v>
      </c>
      <c r="G20" s="99" t="s">
        <v>59</v>
      </c>
      <c r="H20" s="115" t="s">
        <v>23</v>
      </c>
      <c r="I20" s="107"/>
      <c r="J20" s="108"/>
      <c r="K20" s="116" t="s">
        <v>28</v>
      </c>
      <c r="L20" s="103">
        <v>3</v>
      </c>
      <c r="M20" s="103">
        <v>4</v>
      </c>
      <c r="N20" s="117">
        <v>1500</v>
      </c>
      <c r="O20" s="118">
        <f t="shared" si="3"/>
        <v>4.6666666666666288</v>
      </c>
      <c r="P20" s="117">
        <v>725</v>
      </c>
      <c r="Q20" s="117">
        <v>721</v>
      </c>
      <c r="R20" s="117">
        <v>730</v>
      </c>
      <c r="S20" s="120">
        <f t="shared" si="8"/>
        <v>2160</v>
      </c>
      <c r="T20" s="118">
        <f t="shared" si="9"/>
        <v>725.33333333333337</v>
      </c>
      <c r="U20" s="100">
        <f t="shared" si="0"/>
        <v>34</v>
      </c>
      <c r="V20" s="104">
        <v>382</v>
      </c>
      <c r="W20" s="104">
        <v>2525</v>
      </c>
      <c r="X20" s="104" t="s">
        <v>56</v>
      </c>
      <c r="Y20" s="104" t="s">
        <v>42</v>
      </c>
      <c r="Z20" s="1">
        <f t="shared" si="1"/>
        <v>-6.5</v>
      </c>
      <c r="AA20" s="1">
        <f t="shared" si="2"/>
        <v>4.3301270189222123</v>
      </c>
    </row>
    <row r="21" spans="1:27" s="56" customFormat="1" ht="27.75" customHeight="1" thickBot="1" x14ac:dyDescent="0.3">
      <c r="A21" s="84">
        <v>19</v>
      </c>
      <c r="B21" s="52" t="s">
        <v>35</v>
      </c>
      <c r="C21" s="41" t="s">
        <v>36</v>
      </c>
      <c r="D21" s="41" t="s">
        <v>37</v>
      </c>
      <c r="E21" s="41" t="s">
        <v>38</v>
      </c>
      <c r="F21" s="41" t="s">
        <v>54</v>
      </c>
      <c r="G21" s="42" t="s">
        <v>568</v>
      </c>
      <c r="H21" s="46" t="s">
        <v>23</v>
      </c>
      <c r="I21" s="63" t="s">
        <v>596</v>
      </c>
      <c r="J21" s="71">
        <v>2018</v>
      </c>
      <c r="K21" s="66" t="s">
        <v>25</v>
      </c>
      <c r="L21" s="41">
        <v>3</v>
      </c>
      <c r="M21" s="41">
        <v>2</v>
      </c>
      <c r="N21" s="47">
        <v>200</v>
      </c>
      <c r="O21" s="43">
        <f t="shared" si="3"/>
        <v>5.3333333333333286</v>
      </c>
      <c r="P21" s="47">
        <v>107</v>
      </c>
      <c r="Q21" s="47">
        <v>98</v>
      </c>
      <c r="R21" s="47">
        <v>100</v>
      </c>
      <c r="S21" s="48">
        <f t="shared" si="8"/>
        <v>288</v>
      </c>
      <c r="T21" s="43">
        <f t="shared" si="9"/>
        <v>101.66666666666667</v>
      </c>
      <c r="U21" s="44">
        <f t="shared" si="0"/>
        <v>35</v>
      </c>
      <c r="V21" s="45">
        <v>381</v>
      </c>
      <c r="W21" s="45">
        <v>2525</v>
      </c>
      <c r="X21" s="45" t="s">
        <v>56</v>
      </c>
      <c r="Y21" s="45" t="s">
        <v>42</v>
      </c>
      <c r="Z21" s="6">
        <f t="shared" si="1"/>
        <v>-5.5</v>
      </c>
      <c r="AA21" s="6">
        <f t="shared" si="2"/>
        <v>-6.062177826491066</v>
      </c>
    </row>
    <row r="22" spans="1:27" s="49" customFormat="1" ht="16.5" customHeight="1" thickBot="1" x14ac:dyDescent="0.25">
      <c r="A22" s="84">
        <v>20</v>
      </c>
      <c r="B22" s="52" t="s">
        <v>35</v>
      </c>
      <c r="C22" s="41" t="s">
        <v>36</v>
      </c>
      <c r="D22" s="41" t="s">
        <v>37</v>
      </c>
      <c r="E22" s="41" t="s">
        <v>38</v>
      </c>
      <c r="F22" s="41" t="s">
        <v>54</v>
      </c>
      <c r="G22" s="42" t="s">
        <v>60</v>
      </c>
      <c r="H22" s="46" t="s">
        <v>23</v>
      </c>
      <c r="I22" s="63"/>
      <c r="J22" s="71"/>
      <c r="K22" s="66" t="s">
        <v>25</v>
      </c>
      <c r="L22" s="41">
        <v>3</v>
      </c>
      <c r="M22" s="41">
        <v>4</v>
      </c>
      <c r="N22" s="47">
        <v>800</v>
      </c>
      <c r="O22" s="43">
        <f t="shared" si="3"/>
        <v>6</v>
      </c>
      <c r="P22" s="47">
        <v>422</v>
      </c>
      <c r="Q22" s="47">
        <v>417</v>
      </c>
      <c r="R22" s="47">
        <v>409</v>
      </c>
      <c r="S22" s="48">
        <f t="shared" si="8"/>
        <v>1152</v>
      </c>
      <c r="T22" s="43">
        <f t="shared" si="9"/>
        <v>416</v>
      </c>
      <c r="U22" s="44">
        <f t="shared" si="0"/>
        <v>36</v>
      </c>
      <c r="V22" s="45">
        <v>381</v>
      </c>
      <c r="W22" s="45">
        <v>2525</v>
      </c>
      <c r="X22" s="45" t="s">
        <v>56</v>
      </c>
      <c r="Y22" s="45" t="s">
        <v>42</v>
      </c>
      <c r="Z22" s="1">
        <f t="shared" si="1"/>
        <v>1.5</v>
      </c>
      <c r="AA22" s="1">
        <f t="shared" si="2"/>
        <v>-11.258330249197684</v>
      </c>
    </row>
    <row r="23" spans="1:27" s="49" customFormat="1" ht="16.5" customHeight="1" thickBot="1" x14ac:dyDescent="0.25">
      <c r="A23" s="84">
        <v>21</v>
      </c>
      <c r="B23" s="52" t="s">
        <v>35</v>
      </c>
      <c r="C23" s="41" t="s">
        <v>36</v>
      </c>
      <c r="D23" s="41" t="s">
        <v>37</v>
      </c>
      <c r="E23" s="41" t="s">
        <v>38</v>
      </c>
      <c r="F23" s="41" t="s">
        <v>54</v>
      </c>
      <c r="G23" s="42" t="s">
        <v>40</v>
      </c>
      <c r="H23" s="42" t="s">
        <v>23</v>
      </c>
      <c r="I23" s="63"/>
      <c r="J23" s="71"/>
      <c r="K23" s="66" t="s">
        <v>25</v>
      </c>
      <c r="L23" s="41">
        <v>3</v>
      </c>
      <c r="M23" s="41">
        <v>4</v>
      </c>
      <c r="N23" s="47">
        <v>300</v>
      </c>
      <c r="O23" s="43">
        <f t="shared" si="3"/>
        <v>4.3333333333333428</v>
      </c>
      <c r="P23" s="47">
        <v>146</v>
      </c>
      <c r="Q23" s="47">
        <v>150</v>
      </c>
      <c r="R23" s="47">
        <v>141</v>
      </c>
      <c r="S23" s="48">
        <f>1.44*N23</f>
        <v>432</v>
      </c>
      <c r="T23" s="43">
        <f>(R23+Q23+P23)/3</f>
        <v>145.66666666666666</v>
      </c>
      <c r="U23" s="44">
        <f t="shared" ref="U23:U26" si="10">ROUND(((AVERAGE(P23,R23,Q23))/(N23*1.44))*100,0)</f>
        <v>34</v>
      </c>
      <c r="V23" s="45">
        <v>381</v>
      </c>
      <c r="W23" s="45">
        <v>2525</v>
      </c>
      <c r="X23" s="45" t="s">
        <v>56</v>
      </c>
      <c r="Y23" s="45" t="s">
        <v>42</v>
      </c>
      <c r="Z23" s="1"/>
      <c r="AA23" s="1"/>
    </row>
    <row r="24" spans="1:27" s="49" customFormat="1" ht="16.5" customHeight="1" thickBot="1" x14ac:dyDescent="0.25">
      <c r="A24" s="98">
        <v>22</v>
      </c>
      <c r="B24" s="102" t="s">
        <v>35</v>
      </c>
      <c r="C24" s="103" t="s">
        <v>36</v>
      </c>
      <c r="D24" s="103" t="s">
        <v>37</v>
      </c>
      <c r="E24" s="103" t="s">
        <v>38</v>
      </c>
      <c r="F24" s="103" t="s">
        <v>54</v>
      </c>
      <c r="G24" s="99" t="s">
        <v>43</v>
      </c>
      <c r="H24" s="99" t="s">
        <v>23</v>
      </c>
      <c r="I24" s="121"/>
      <c r="J24" s="122"/>
      <c r="K24" s="116" t="s">
        <v>25</v>
      </c>
      <c r="L24" s="103">
        <v>3</v>
      </c>
      <c r="M24" s="103">
        <v>4</v>
      </c>
      <c r="N24" s="117">
        <v>250</v>
      </c>
      <c r="O24" s="118">
        <f t="shared" si="3"/>
        <v>4.6666666666666572</v>
      </c>
      <c r="P24" s="117">
        <v>156</v>
      </c>
      <c r="Q24" s="117">
        <v>146</v>
      </c>
      <c r="R24" s="117">
        <v>152</v>
      </c>
      <c r="S24" s="120">
        <f t="shared" ref="S24:S26" si="11">1.44*N24</f>
        <v>360</v>
      </c>
      <c r="T24" s="118">
        <f t="shared" ref="T24:T26" si="12">(R24+Q24+P24)/3</f>
        <v>151.33333333333334</v>
      </c>
      <c r="U24" s="100">
        <f t="shared" si="10"/>
        <v>42</v>
      </c>
      <c r="V24" s="104">
        <v>381</v>
      </c>
      <c r="W24" s="104">
        <v>2525</v>
      </c>
      <c r="X24" s="104" t="s">
        <v>56</v>
      </c>
      <c r="Y24" s="104" t="s">
        <v>42</v>
      </c>
      <c r="Z24" s="1"/>
      <c r="AA24" s="1"/>
    </row>
    <row r="25" spans="1:27" s="49" customFormat="1" ht="16.5" customHeight="1" thickBot="1" x14ac:dyDescent="0.25">
      <c r="A25" s="84">
        <v>23</v>
      </c>
      <c r="B25" s="52" t="s">
        <v>35</v>
      </c>
      <c r="C25" s="41" t="s">
        <v>36</v>
      </c>
      <c r="D25" s="41" t="s">
        <v>37</v>
      </c>
      <c r="E25" s="41" t="s">
        <v>38</v>
      </c>
      <c r="F25" s="41" t="s">
        <v>54</v>
      </c>
      <c r="G25" s="42" t="s">
        <v>44</v>
      </c>
      <c r="H25" s="42" t="s">
        <v>23</v>
      </c>
      <c r="I25" s="63" t="s">
        <v>592</v>
      </c>
      <c r="J25" s="71">
        <v>1985</v>
      </c>
      <c r="K25" s="66" t="s">
        <v>25</v>
      </c>
      <c r="L25" s="41">
        <v>3</v>
      </c>
      <c r="M25" s="41">
        <v>3</v>
      </c>
      <c r="N25" s="47">
        <v>250</v>
      </c>
      <c r="O25" s="43">
        <f t="shared" si="3"/>
        <v>6</v>
      </c>
      <c r="P25" s="47">
        <v>213</v>
      </c>
      <c r="Q25" s="47">
        <v>207</v>
      </c>
      <c r="R25" s="47">
        <v>219</v>
      </c>
      <c r="S25" s="48">
        <f t="shared" si="11"/>
        <v>360</v>
      </c>
      <c r="T25" s="43">
        <f t="shared" si="12"/>
        <v>213</v>
      </c>
      <c r="U25" s="44">
        <f t="shared" si="10"/>
        <v>59</v>
      </c>
      <c r="V25" s="45">
        <v>381</v>
      </c>
      <c r="W25" s="45">
        <v>2525</v>
      </c>
      <c r="X25" s="45" t="s">
        <v>56</v>
      </c>
      <c r="Y25" s="45" t="s">
        <v>42</v>
      </c>
      <c r="Z25" s="1"/>
      <c r="AA25" s="1"/>
    </row>
    <row r="26" spans="1:27" s="49" customFormat="1" ht="16.5" customHeight="1" thickBot="1" x14ac:dyDescent="0.25">
      <c r="A26" s="84">
        <v>24</v>
      </c>
      <c r="B26" s="52" t="s">
        <v>35</v>
      </c>
      <c r="C26" s="41" t="s">
        <v>36</v>
      </c>
      <c r="D26" s="41" t="s">
        <v>37</v>
      </c>
      <c r="E26" s="41" t="s">
        <v>38</v>
      </c>
      <c r="F26" s="41" t="s">
        <v>54</v>
      </c>
      <c r="G26" s="42" t="s">
        <v>399</v>
      </c>
      <c r="H26" s="46" t="s">
        <v>26</v>
      </c>
      <c r="I26" s="63"/>
      <c r="J26" s="71"/>
      <c r="K26" s="66" t="s">
        <v>25</v>
      </c>
      <c r="L26" s="41">
        <v>3</v>
      </c>
      <c r="M26" s="41"/>
      <c r="N26" s="47">
        <v>250</v>
      </c>
      <c r="O26" s="43">
        <f t="shared" si="3"/>
        <v>11.666666666666657</v>
      </c>
      <c r="P26" s="47">
        <v>145</v>
      </c>
      <c r="Q26" s="47">
        <v>130</v>
      </c>
      <c r="R26" s="47">
        <v>125</v>
      </c>
      <c r="S26" s="48">
        <f t="shared" si="11"/>
        <v>360</v>
      </c>
      <c r="T26" s="43">
        <f t="shared" si="12"/>
        <v>133.33333333333334</v>
      </c>
      <c r="U26" s="44">
        <f t="shared" si="10"/>
        <v>37</v>
      </c>
      <c r="V26" s="45">
        <v>381</v>
      </c>
      <c r="W26" s="45">
        <v>2650</v>
      </c>
      <c r="X26" s="45" t="s">
        <v>41</v>
      </c>
      <c r="Y26" s="45" t="s">
        <v>42</v>
      </c>
      <c r="Z26" s="1"/>
      <c r="AA26" s="1"/>
    </row>
    <row r="27" spans="1:27" s="49" customFormat="1" ht="16.5" customHeight="1" thickBot="1" x14ac:dyDescent="0.25">
      <c r="A27" s="84">
        <v>25</v>
      </c>
      <c r="B27" s="52" t="s">
        <v>35</v>
      </c>
      <c r="C27" s="41" t="s">
        <v>36</v>
      </c>
      <c r="D27" s="41" t="s">
        <v>37</v>
      </c>
      <c r="E27" s="41" t="s">
        <v>38</v>
      </c>
      <c r="F27" s="41" t="s">
        <v>46</v>
      </c>
      <c r="G27" s="42" t="s">
        <v>61</v>
      </c>
      <c r="H27" s="46" t="s">
        <v>23</v>
      </c>
      <c r="I27" s="63"/>
      <c r="J27" s="71"/>
      <c r="K27" s="66" t="s">
        <v>25</v>
      </c>
      <c r="L27" s="41">
        <v>3</v>
      </c>
      <c r="M27" s="41">
        <v>4</v>
      </c>
      <c r="N27" s="47">
        <v>300</v>
      </c>
      <c r="O27" s="43">
        <f t="shared" si="3"/>
        <v>4</v>
      </c>
      <c r="P27" s="47">
        <v>215</v>
      </c>
      <c r="Q27" s="47">
        <v>223</v>
      </c>
      <c r="R27" s="47">
        <v>219</v>
      </c>
      <c r="S27" s="48">
        <f t="shared" si="8"/>
        <v>432</v>
      </c>
      <c r="T27" s="43">
        <f t="shared" si="9"/>
        <v>219</v>
      </c>
      <c r="U27" s="44">
        <f t="shared" si="0"/>
        <v>51</v>
      </c>
      <c r="V27" s="45">
        <v>380</v>
      </c>
      <c r="W27" s="45">
        <v>2650</v>
      </c>
      <c r="X27" s="45" t="s">
        <v>41</v>
      </c>
      <c r="Y27" s="45" t="s">
        <v>42</v>
      </c>
      <c r="Z27" s="1">
        <f t="shared" si="1"/>
        <v>6</v>
      </c>
      <c r="AA27" s="1">
        <f t="shared" si="2"/>
        <v>3.4641016151377357</v>
      </c>
    </row>
    <row r="28" spans="1:27" s="49" customFormat="1" ht="16.5" customHeight="1" thickBot="1" x14ac:dyDescent="0.3">
      <c r="A28" s="98">
        <v>26</v>
      </c>
      <c r="B28" s="102" t="s">
        <v>35</v>
      </c>
      <c r="C28" s="103" t="s">
        <v>36</v>
      </c>
      <c r="D28" s="103" t="s">
        <v>37</v>
      </c>
      <c r="E28" s="103" t="s">
        <v>38</v>
      </c>
      <c r="F28" s="103" t="s">
        <v>46</v>
      </c>
      <c r="G28" s="99" t="s">
        <v>62</v>
      </c>
      <c r="H28" s="115" t="s">
        <v>23</v>
      </c>
      <c r="I28" s="121"/>
      <c r="J28" s="122"/>
      <c r="K28" s="116" t="s">
        <v>25</v>
      </c>
      <c r="L28" s="103">
        <v>3</v>
      </c>
      <c r="M28" s="103">
        <v>6</v>
      </c>
      <c r="N28" s="117">
        <v>1000</v>
      </c>
      <c r="O28" s="118">
        <f t="shared" si="3"/>
        <v>7</v>
      </c>
      <c r="P28" s="119">
        <v>498</v>
      </c>
      <c r="Q28" s="119">
        <v>501</v>
      </c>
      <c r="R28" s="119">
        <v>510</v>
      </c>
      <c r="S28" s="120">
        <f t="shared" si="8"/>
        <v>1440</v>
      </c>
      <c r="T28" s="118">
        <f t="shared" si="9"/>
        <v>503</v>
      </c>
      <c r="U28" s="100">
        <f t="shared" si="0"/>
        <v>35</v>
      </c>
      <c r="V28" s="104">
        <v>380</v>
      </c>
      <c r="W28" s="104">
        <v>2650</v>
      </c>
      <c r="X28" s="104" t="s">
        <v>41</v>
      </c>
      <c r="Y28" s="104" t="s">
        <v>42</v>
      </c>
      <c r="Z28" s="1">
        <f t="shared" si="1"/>
        <v>-3</v>
      </c>
      <c r="AA28" s="1">
        <f t="shared" si="2"/>
        <v>10.392304845413264</v>
      </c>
    </row>
    <row r="29" spans="1:27" s="49" customFormat="1" ht="16.5" customHeight="1" thickBot="1" x14ac:dyDescent="0.3">
      <c r="A29" s="98">
        <v>27</v>
      </c>
      <c r="B29" s="102" t="s">
        <v>35</v>
      </c>
      <c r="C29" s="103" t="s">
        <v>36</v>
      </c>
      <c r="D29" s="103" t="s">
        <v>37</v>
      </c>
      <c r="E29" s="103" t="s">
        <v>38</v>
      </c>
      <c r="F29" s="103" t="s">
        <v>46</v>
      </c>
      <c r="G29" s="99" t="s">
        <v>63</v>
      </c>
      <c r="H29" s="115" t="s">
        <v>23</v>
      </c>
      <c r="I29" s="121"/>
      <c r="J29" s="122"/>
      <c r="K29" s="116" t="s">
        <v>25</v>
      </c>
      <c r="L29" s="103">
        <v>3</v>
      </c>
      <c r="M29" s="103">
        <v>6</v>
      </c>
      <c r="N29" s="117">
        <v>1000</v>
      </c>
      <c r="O29" s="118">
        <f t="shared" si="3"/>
        <v>7</v>
      </c>
      <c r="P29" s="119">
        <v>479</v>
      </c>
      <c r="Q29" s="119">
        <v>491</v>
      </c>
      <c r="R29" s="119">
        <v>482</v>
      </c>
      <c r="S29" s="120">
        <f t="shared" si="8"/>
        <v>1440</v>
      </c>
      <c r="T29" s="118">
        <f t="shared" si="9"/>
        <v>484</v>
      </c>
      <c r="U29" s="100">
        <f t="shared" si="0"/>
        <v>34</v>
      </c>
      <c r="V29" s="104">
        <v>382</v>
      </c>
      <c r="W29" s="104">
        <v>2650</v>
      </c>
      <c r="X29" s="104" t="s">
        <v>41</v>
      </c>
      <c r="Y29" s="104" t="s">
        <v>42</v>
      </c>
      <c r="Z29" s="1">
        <f t="shared" si="1"/>
        <v>10.5</v>
      </c>
      <c r="AA29" s="1">
        <f t="shared" si="2"/>
        <v>2.598076211353316</v>
      </c>
    </row>
    <row r="30" spans="1:27" s="49" customFormat="1" ht="16.5" customHeight="1" thickBot="1" x14ac:dyDescent="0.25">
      <c r="A30" s="84">
        <v>28</v>
      </c>
      <c r="B30" s="52" t="s">
        <v>35</v>
      </c>
      <c r="C30" s="41" t="s">
        <v>36</v>
      </c>
      <c r="D30" s="41" t="s">
        <v>37</v>
      </c>
      <c r="E30" s="41" t="s">
        <v>38</v>
      </c>
      <c r="F30" s="41" t="s">
        <v>46</v>
      </c>
      <c r="G30" s="42" t="s">
        <v>400</v>
      </c>
      <c r="H30" s="46" t="s">
        <v>26</v>
      </c>
      <c r="I30" s="65"/>
      <c r="J30" s="73"/>
      <c r="K30" s="66" t="s">
        <v>25</v>
      </c>
      <c r="L30" s="41">
        <v>3</v>
      </c>
      <c r="M30" s="41">
        <v>3</v>
      </c>
      <c r="N30" s="47">
        <v>500</v>
      </c>
      <c r="O30" s="43">
        <f t="shared" si="3"/>
        <v>30</v>
      </c>
      <c r="P30" s="47">
        <v>240</v>
      </c>
      <c r="Q30" s="47">
        <v>250</v>
      </c>
      <c r="R30" s="47">
        <v>290</v>
      </c>
      <c r="S30" s="48">
        <f t="shared" si="8"/>
        <v>720</v>
      </c>
      <c r="T30" s="43">
        <f t="shared" si="9"/>
        <v>260</v>
      </c>
      <c r="U30" s="44">
        <f t="shared" si="0"/>
        <v>36</v>
      </c>
      <c r="V30" s="45">
        <v>380</v>
      </c>
      <c r="W30" s="45">
        <v>2650</v>
      </c>
      <c r="X30" s="45" t="s">
        <v>41</v>
      </c>
      <c r="Y30" s="45" t="s">
        <v>42</v>
      </c>
      <c r="Z30" s="1">
        <f t="shared" si="1"/>
        <v>-15</v>
      </c>
      <c r="AA30" s="1">
        <f t="shared" si="2"/>
        <v>43.301270189221952</v>
      </c>
    </row>
    <row r="31" spans="1:27" s="49" customFormat="1" ht="16.5" customHeight="1" thickBot="1" x14ac:dyDescent="0.25">
      <c r="A31" s="84">
        <v>29</v>
      </c>
      <c r="B31" s="52" t="s">
        <v>35</v>
      </c>
      <c r="C31" s="41" t="s">
        <v>36</v>
      </c>
      <c r="D31" s="41" t="s">
        <v>37</v>
      </c>
      <c r="E31" s="41" t="s">
        <v>38</v>
      </c>
      <c r="F31" s="41" t="s">
        <v>46</v>
      </c>
      <c r="G31" s="42" t="s">
        <v>401</v>
      </c>
      <c r="H31" s="46" t="s">
        <v>26</v>
      </c>
      <c r="I31" s="65"/>
      <c r="J31" s="73"/>
      <c r="K31" s="66" t="s">
        <v>25</v>
      </c>
      <c r="L31" s="41">
        <v>3</v>
      </c>
      <c r="M31" s="41"/>
      <c r="N31" s="47">
        <v>100</v>
      </c>
      <c r="O31" s="43">
        <f t="shared" si="3"/>
        <v>8.3333333333333357</v>
      </c>
      <c r="P31" s="47">
        <v>49</v>
      </c>
      <c r="Q31" s="47">
        <v>65</v>
      </c>
      <c r="R31" s="47">
        <v>56</v>
      </c>
      <c r="S31" s="48">
        <f t="shared" si="8"/>
        <v>144</v>
      </c>
      <c r="T31" s="43">
        <f t="shared" si="9"/>
        <v>56.666666666666664</v>
      </c>
      <c r="U31" s="44">
        <f t="shared" si="0"/>
        <v>39</v>
      </c>
      <c r="V31" s="45">
        <v>383</v>
      </c>
      <c r="W31" s="45">
        <v>2650</v>
      </c>
      <c r="X31" s="45" t="s">
        <v>41</v>
      </c>
      <c r="Y31" s="45" t="s">
        <v>42</v>
      </c>
      <c r="Z31" s="1">
        <f t="shared" si="1"/>
        <v>12.5</v>
      </c>
      <c r="AA31" s="1">
        <f t="shared" si="2"/>
        <v>6.0621778264910731</v>
      </c>
    </row>
    <row r="32" spans="1:27" s="49" customFormat="1" ht="16.5" customHeight="1" thickBot="1" x14ac:dyDescent="0.25">
      <c r="A32" s="84">
        <v>30</v>
      </c>
      <c r="B32" s="52" t="s">
        <v>35</v>
      </c>
      <c r="C32" s="41" t="s">
        <v>36</v>
      </c>
      <c r="D32" s="41" t="s">
        <v>37</v>
      </c>
      <c r="E32" s="41" t="s">
        <v>38</v>
      </c>
      <c r="F32" s="41" t="s">
        <v>46</v>
      </c>
      <c r="G32" s="42" t="s">
        <v>402</v>
      </c>
      <c r="H32" s="46" t="s">
        <v>26</v>
      </c>
      <c r="I32" s="64"/>
      <c r="J32" s="72"/>
      <c r="K32" s="66" t="s">
        <v>28</v>
      </c>
      <c r="L32" s="41">
        <v>3</v>
      </c>
      <c r="M32" s="41"/>
      <c r="N32" s="47">
        <v>500</v>
      </c>
      <c r="O32" s="43">
        <f t="shared" si="3"/>
        <v>14.333333333333314</v>
      </c>
      <c r="P32" s="47">
        <v>290</v>
      </c>
      <c r="Q32" s="47">
        <v>285</v>
      </c>
      <c r="R32" s="47">
        <v>309</v>
      </c>
      <c r="S32" s="48">
        <f t="shared" si="8"/>
        <v>720</v>
      </c>
      <c r="T32" s="43">
        <f t="shared" si="9"/>
        <v>294.66666666666669</v>
      </c>
      <c r="U32" s="44">
        <f t="shared" si="0"/>
        <v>41</v>
      </c>
      <c r="V32" s="45">
        <v>381</v>
      </c>
      <c r="W32" s="45">
        <v>2650</v>
      </c>
      <c r="X32" s="45" t="s">
        <v>41</v>
      </c>
      <c r="Y32" s="45" t="s">
        <v>42</v>
      </c>
      <c r="Z32" s="1">
        <f t="shared" si="1"/>
        <v>-14.5</v>
      </c>
      <c r="AA32" s="1">
        <f t="shared" si="2"/>
        <v>16.454482671904344</v>
      </c>
    </row>
    <row r="33" spans="1:27" s="49" customFormat="1" ht="16.5" customHeight="1" thickBot="1" x14ac:dyDescent="0.25">
      <c r="A33" s="84">
        <v>31</v>
      </c>
      <c r="B33" s="52" t="s">
        <v>35</v>
      </c>
      <c r="C33" s="41" t="s">
        <v>36</v>
      </c>
      <c r="D33" s="41" t="s">
        <v>37</v>
      </c>
      <c r="E33" s="41" t="s">
        <v>38</v>
      </c>
      <c r="F33" s="41" t="s">
        <v>46</v>
      </c>
      <c r="G33" s="42" t="s">
        <v>403</v>
      </c>
      <c r="H33" s="46" t="s">
        <v>26</v>
      </c>
      <c r="I33" s="65"/>
      <c r="J33" s="73"/>
      <c r="K33" s="66" t="s">
        <v>25</v>
      </c>
      <c r="L33" s="41">
        <v>3</v>
      </c>
      <c r="M33" s="41"/>
      <c r="N33" s="47">
        <v>300</v>
      </c>
      <c r="O33" s="43">
        <f t="shared" si="3"/>
        <v>6.6666666666666572</v>
      </c>
      <c r="P33" s="47">
        <v>170</v>
      </c>
      <c r="Q33" s="47">
        <v>165</v>
      </c>
      <c r="R33" s="47">
        <v>155</v>
      </c>
      <c r="S33" s="48">
        <f t="shared" si="8"/>
        <v>432</v>
      </c>
      <c r="T33" s="43">
        <f t="shared" si="9"/>
        <v>163.33333333333334</v>
      </c>
      <c r="U33" s="44">
        <f t="shared" si="0"/>
        <v>38</v>
      </c>
      <c r="V33" s="45">
        <v>380</v>
      </c>
      <c r="W33" s="45">
        <v>2650</v>
      </c>
      <c r="X33" s="45" t="s">
        <v>41</v>
      </c>
      <c r="Y33" s="45" t="s">
        <v>42</v>
      </c>
      <c r="Z33" s="1">
        <f t="shared" si="1"/>
        <v>2.5</v>
      </c>
      <c r="AA33" s="1">
        <f t="shared" si="2"/>
        <v>-12.99038105676658</v>
      </c>
    </row>
    <row r="34" spans="1:27" s="49" customFormat="1" ht="16.5" customHeight="1" thickBot="1" x14ac:dyDescent="0.25">
      <c r="A34" s="84">
        <v>32</v>
      </c>
      <c r="B34" s="52" t="s">
        <v>35</v>
      </c>
      <c r="C34" s="41" t="s">
        <v>36</v>
      </c>
      <c r="D34" s="41" t="s">
        <v>37</v>
      </c>
      <c r="E34" s="41" t="s">
        <v>38</v>
      </c>
      <c r="F34" s="41" t="s">
        <v>46</v>
      </c>
      <c r="G34" s="42" t="s">
        <v>450</v>
      </c>
      <c r="H34" s="46" t="s">
        <v>26</v>
      </c>
      <c r="I34" s="65"/>
      <c r="J34" s="73"/>
      <c r="K34" s="66" t="s">
        <v>25</v>
      </c>
      <c r="L34" s="41">
        <v>3</v>
      </c>
      <c r="M34" s="41"/>
      <c r="N34" s="47">
        <v>300</v>
      </c>
      <c r="O34" s="43">
        <f t="shared" si="3"/>
        <v>15</v>
      </c>
      <c r="P34" s="47">
        <v>175</v>
      </c>
      <c r="Q34" s="47">
        <v>180</v>
      </c>
      <c r="R34" s="47">
        <v>200</v>
      </c>
      <c r="S34" s="48">
        <f t="shared" si="8"/>
        <v>432</v>
      </c>
      <c r="T34" s="43">
        <f t="shared" si="9"/>
        <v>185</v>
      </c>
      <c r="U34" s="44">
        <f t="shared" si="0"/>
        <v>43</v>
      </c>
      <c r="V34" s="45">
        <v>380</v>
      </c>
      <c r="W34" s="45">
        <v>1500</v>
      </c>
      <c r="X34" s="45" t="s">
        <v>139</v>
      </c>
      <c r="Y34" s="45" t="s">
        <v>42</v>
      </c>
      <c r="Z34" s="1">
        <f t="shared" si="1"/>
        <v>-7.5</v>
      </c>
      <c r="AA34" s="1">
        <f t="shared" si="2"/>
        <v>21.650635094610976</v>
      </c>
    </row>
    <row r="35" spans="1:27" s="49" customFormat="1" ht="16.5" customHeight="1" thickBot="1" x14ac:dyDescent="0.25">
      <c r="A35" s="98">
        <v>33</v>
      </c>
      <c r="B35" s="102" t="s">
        <v>35</v>
      </c>
      <c r="C35" s="103" t="s">
        <v>36</v>
      </c>
      <c r="D35" s="103" t="s">
        <v>37</v>
      </c>
      <c r="E35" s="103" t="s">
        <v>38</v>
      </c>
      <c r="F35" s="103" t="s">
        <v>64</v>
      </c>
      <c r="G35" s="99" t="s">
        <v>404</v>
      </c>
      <c r="H35" s="115" t="s">
        <v>26</v>
      </c>
      <c r="I35" s="121"/>
      <c r="J35" s="122"/>
      <c r="K35" s="116" t="s">
        <v>25</v>
      </c>
      <c r="L35" s="103">
        <v>3</v>
      </c>
      <c r="M35" s="103"/>
      <c r="N35" s="117">
        <v>1500</v>
      </c>
      <c r="O35" s="118">
        <f t="shared" si="3"/>
        <v>16.666666666666629</v>
      </c>
      <c r="P35" s="117">
        <v>915</v>
      </c>
      <c r="Q35" s="117">
        <v>900</v>
      </c>
      <c r="R35" s="117">
        <v>880</v>
      </c>
      <c r="S35" s="120">
        <f t="shared" si="8"/>
        <v>2160</v>
      </c>
      <c r="T35" s="118">
        <f t="shared" si="9"/>
        <v>898.33333333333337</v>
      </c>
      <c r="U35" s="100">
        <f t="shared" si="0"/>
        <v>42</v>
      </c>
      <c r="V35" s="104">
        <v>381</v>
      </c>
      <c r="W35" s="104">
        <v>2650</v>
      </c>
      <c r="X35" s="104" t="s">
        <v>41</v>
      </c>
      <c r="Y35" s="104" t="s">
        <v>42</v>
      </c>
      <c r="Z35" s="1">
        <f t="shared" si="1"/>
        <v>2.5</v>
      </c>
      <c r="AA35" s="1">
        <f t="shared" si="2"/>
        <v>-30.310889132455372</v>
      </c>
    </row>
    <row r="36" spans="1:27" s="49" customFormat="1" ht="16.5" customHeight="1" thickBot="1" x14ac:dyDescent="0.3">
      <c r="A36" s="98">
        <v>34</v>
      </c>
      <c r="B36" s="102" t="s">
        <v>35</v>
      </c>
      <c r="C36" s="103" t="s">
        <v>36</v>
      </c>
      <c r="D36" s="103" t="s">
        <v>37</v>
      </c>
      <c r="E36" s="103" t="s">
        <v>38</v>
      </c>
      <c r="F36" s="103" t="s">
        <v>64</v>
      </c>
      <c r="G36" s="99" t="s">
        <v>65</v>
      </c>
      <c r="H36" s="115" t="s">
        <v>23</v>
      </c>
      <c r="I36" s="121" t="s">
        <v>591</v>
      </c>
      <c r="J36" s="122">
        <v>2007</v>
      </c>
      <c r="K36" s="116" t="s">
        <v>25</v>
      </c>
      <c r="L36" s="103">
        <v>3</v>
      </c>
      <c r="M36" s="103">
        <v>2</v>
      </c>
      <c r="N36" s="117">
        <v>500</v>
      </c>
      <c r="O36" s="118">
        <f t="shared" si="3"/>
        <v>5.3333333333333144</v>
      </c>
      <c r="P36" s="119">
        <v>263</v>
      </c>
      <c r="Q36" s="119">
        <v>251</v>
      </c>
      <c r="R36" s="119">
        <v>265</v>
      </c>
      <c r="S36" s="120">
        <f t="shared" ref="S36:S48" si="13">1.44*N36</f>
        <v>720</v>
      </c>
      <c r="T36" s="118">
        <f t="shared" ref="T36:T48" si="14">(R36+Q36+P36)/3</f>
        <v>259.66666666666669</v>
      </c>
      <c r="U36" s="100">
        <f t="shared" si="0"/>
        <v>36</v>
      </c>
      <c r="V36" s="104">
        <v>380</v>
      </c>
      <c r="W36" s="104">
        <v>2650</v>
      </c>
      <c r="X36" s="104" t="s">
        <v>41</v>
      </c>
      <c r="Y36" s="104" t="s">
        <v>42</v>
      </c>
      <c r="Z36" s="1">
        <f t="shared" ref="Z36:Z66" si="15">Q36-0.5*R36-0.5*P36</f>
        <v>-13</v>
      </c>
      <c r="AA36" s="1">
        <f t="shared" ref="AA36:AA66" si="16">SQRT(3)/2*R36-SQRT(3)/2*P36</f>
        <v>1.7320508075688679</v>
      </c>
    </row>
    <row r="37" spans="1:27" s="49" customFormat="1" ht="16.5" customHeight="1" thickBot="1" x14ac:dyDescent="0.3">
      <c r="A37" s="98">
        <v>35</v>
      </c>
      <c r="B37" s="102" t="s">
        <v>35</v>
      </c>
      <c r="C37" s="103" t="s">
        <v>36</v>
      </c>
      <c r="D37" s="103" t="s">
        <v>37</v>
      </c>
      <c r="E37" s="103" t="s">
        <v>38</v>
      </c>
      <c r="F37" s="103" t="s">
        <v>64</v>
      </c>
      <c r="G37" s="99" t="s">
        <v>68</v>
      </c>
      <c r="H37" s="115" t="s">
        <v>23</v>
      </c>
      <c r="I37" s="121" t="s">
        <v>591</v>
      </c>
      <c r="J37" s="122">
        <v>2019</v>
      </c>
      <c r="K37" s="116" t="s">
        <v>25</v>
      </c>
      <c r="L37" s="103">
        <v>3</v>
      </c>
      <c r="M37" s="103">
        <v>4</v>
      </c>
      <c r="N37" s="117">
        <v>1000</v>
      </c>
      <c r="O37" s="118">
        <f t="shared" si="3"/>
        <v>5</v>
      </c>
      <c r="P37" s="119">
        <v>459</v>
      </c>
      <c r="Q37" s="119">
        <v>464</v>
      </c>
      <c r="R37" s="119">
        <v>454</v>
      </c>
      <c r="S37" s="120">
        <f t="shared" si="13"/>
        <v>1440</v>
      </c>
      <c r="T37" s="118">
        <f t="shared" si="14"/>
        <v>459</v>
      </c>
      <c r="U37" s="100">
        <f t="shared" si="0"/>
        <v>32</v>
      </c>
      <c r="V37" s="104">
        <v>380</v>
      </c>
      <c r="W37" s="104">
        <v>2650</v>
      </c>
      <c r="X37" s="104" t="s">
        <v>41</v>
      </c>
      <c r="Y37" s="104" t="s">
        <v>42</v>
      </c>
      <c r="Z37" s="1"/>
      <c r="AA37" s="1"/>
    </row>
    <row r="38" spans="1:27" s="49" customFormat="1" ht="16.5" customHeight="1" thickBot="1" x14ac:dyDescent="0.25">
      <c r="A38" s="84">
        <v>36</v>
      </c>
      <c r="B38" s="52" t="s">
        <v>35</v>
      </c>
      <c r="C38" s="41" t="s">
        <v>36</v>
      </c>
      <c r="D38" s="41" t="s">
        <v>69</v>
      </c>
      <c r="E38" s="41" t="s">
        <v>38</v>
      </c>
      <c r="F38" s="41" t="s">
        <v>64</v>
      </c>
      <c r="G38" s="42" t="s">
        <v>544</v>
      </c>
      <c r="H38" s="46" t="s">
        <v>23</v>
      </c>
      <c r="I38" s="62" t="s">
        <v>573</v>
      </c>
      <c r="J38" s="70">
        <v>2015</v>
      </c>
      <c r="K38" s="66" t="s">
        <v>28</v>
      </c>
      <c r="L38" s="41">
        <v>3</v>
      </c>
      <c r="M38" s="41"/>
      <c r="N38" s="47">
        <v>500</v>
      </c>
      <c r="O38" s="43">
        <f t="shared" si="3"/>
        <v>9.3333333333333428</v>
      </c>
      <c r="P38" s="58">
        <v>235</v>
      </c>
      <c r="Q38" s="58">
        <v>227</v>
      </c>
      <c r="R38" s="58">
        <v>215</v>
      </c>
      <c r="S38" s="48">
        <f t="shared" si="13"/>
        <v>720</v>
      </c>
      <c r="T38" s="43">
        <f t="shared" si="14"/>
        <v>225.66666666666666</v>
      </c>
      <c r="U38" s="44">
        <f t="shared" si="0"/>
        <v>31</v>
      </c>
      <c r="V38" s="45">
        <v>381</v>
      </c>
      <c r="W38" s="45">
        <v>2650</v>
      </c>
      <c r="X38" s="45" t="s">
        <v>41</v>
      </c>
      <c r="Y38" s="45" t="s">
        <v>42</v>
      </c>
      <c r="Z38" s="1"/>
      <c r="AA38" s="1"/>
    </row>
    <row r="39" spans="1:27" s="49" customFormat="1" ht="16.5" customHeight="1" thickBot="1" x14ac:dyDescent="0.3">
      <c r="A39" s="98">
        <v>37</v>
      </c>
      <c r="B39" s="102" t="s">
        <v>35</v>
      </c>
      <c r="C39" s="103" t="s">
        <v>36</v>
      </c>
      <c r="D39" s="103" t="s">
        <v>37</v>
      </c>
      <c r="E39" s="103" t="s">
        <v>38</v>
      </c>
      <c r="F39" s="103" t="s">
        <v>64</v>
      </c>
      <c r="G39" s="99" t="s">
        <v>66</v>
      </c>
      <c r="H39" s="115" t="s">
        <v>23</v>
      </c>
      <c r="I39" s="121"/>
      <c r="J39" s="122"/>
      <c r="K39" s="116" t="s">
        <v>25</v>
      </c>
      <c r="L39" s="103">
        <v>3</v>
      </c>
      <c r="M39" s="103">
        <v>4</v>
      </c>
      <c r="N39" s="117">
        <v>250</v>
      </c>
      <c r="O39" s="118">
        <f t="shared" si="3"/>
        <v>7</v>
      </c>
      <c r="P39" s="119">
        <v>105</v>
      </c>
      <c r="Q39" s="119">
        <v>114</v>
      </c>
      <c r="R39" s="119">
        <v>120</v>
      </c>
      <c r="S39" s="120">
        <f t="shared" si="13"/>
        <v>360</v>
      </c>
      <c r="T39" s="118">
        <f t="shared" si="14"/>
        <v>113</v>
      </c>
      <c r="U39" s="100">
        <f t="shared" si="0"/>
        <v>31</v>
      </c>
      <c r="V39" s="104">
        <v>381</v>
      </c>
      <c r="W39" s="104">
        <v>2650</v>
      </c>
      <c r="X39" s="104" t="s">
        <v>41</v>
      </c>
      <c r="Y39" s="104" t="s">
        <v>42</v>
      </c>
      <c r="Z39" s="1">
        <f t="shared" si="15"/>
        <v>1.5</v>
      </c>
      <c r="AA39" s="1">
        <f t="shared" si="16"/>
        <v>12.99038105676658</v>
      </c>
    </row>
    <row r="40" spans="1:27" s="49" customFormat="1" ht="16.5" customHeight="1" thickBot="1" x14ac:dyDescent="0.3">
      <c r="A40" s="84">
        <v>38</v>
      </c>
      <c r="B40" s="52" t="s">
        <v>35</v>
      </c>
      <c r="C40" s="41" t="s">
        <v>36</v>
      </c>
      <c r="D40" s="41" t="s">
        <v>69</v>
      </c>
      <c r="E40" s="41" t="s">
        <v>38</v>
      </c>
      <c r="F40" s="41" t="s">
        <v>64</v>
      </c>
      <c r="G40" s="42" t="s">
        <v>72</v>
      </c>
      <c r="H40" s="46" t="s">
        <v>23</v>
      </c>
      <c r="I40" s="62"/>
      <c r="J40" s="70"/>
      <c r="K40" s="66" t="s">
        <v>28</v>
      </c>
      <c r="L40" s="41">
        <v>3</v>
      </c>
      <c r="M40" s="41"/>
      <c r="N40" s="47">
        <v>1000</v>
      </c>
      <c r="O40" s="43">
        <f t="shared" si="3"/>
        <v>7.3333333333333144</v>
      </c>
      <c r="P40" s="57">
        <v>499</v>
      </c>
      <c r="Q40" s="57">
        <v>512</v>
      </c>
      <c r="R40" s="57">
        <v>503</v>
      </c>
      <c r="S40" s="48">
        <f t="shared" si="13"/>
        <v>1440</v>
      </c>
      <c r="T40" s="43">
        <f t="shared" si="14"/>
        <v>504.66666666666669</v>
      </c>
      <c r="U40" s="44">
        <f t="shared" si="0"/>
        <v>35</v>
      </c>
      <c r="V40" s="45">
        <v>381</v>
      </c>
      <c r="W40" s="45">
        <v>2650</v>
      </c>
      <c r="X40" s="45" t="s">
        <v>41</v>
      </c>
      <c r="Y40" s="45" t="s">
        <v>42</v>
      </c>
      <c r="Z40" s="1"/>
      <c r="AA40" s="1"/>
    </row>
    <row r="41" spans="1:27" s="49" customFormat="1" ht="16.5" customHeight="1" thickBot="1" x14ac:dyDescent="0.3">
      <c r="A41" s="84">
        <v>39</v>
      </c>
      <c r="B41" s="52" t="s">
        <v>35</v>
      </c>
      <c r="C41" s="41" t="s">
        <v>36</v>
      </c>
      <c r="D41" s="41" t="s">
        <v>69</v>
      </c>
      <c r="E41" s="41" t="s">
        <v>38</v>
      </c>
      <c r="F41" s="41" t="s">
        <v>64</v>
      </c>
      <c r="G41" s="42" t="s">
        <v>73</v>
      </c>
      <c r="H41" s="46" t="s">
        <v>23</v>
      </c>
      <c r="I41" s="62"/>
      <c r="J41" s="70"/>
      <c r="K41" s="66" t="s">
        <v>28</v>
      </c>
      <c r="L41" s="41">
        <v>3</v>
      </c>
      <c r="M41" s="41"/>
      <c r="N41" s="47">
        <v>1000</v>
      </c>
      <c r="O41" s="43">
        <f t="shared" si="3"/>
        <v>5</v>
      </c>
      <c r="P41" s="57">
        <v>442</v>
      </c>
      <c r="Q41" s="57">
        <v>435</v>
      </c>
      <c r="R41" s="57">
        <v>446</v>
      </c>
      <c r="S41" s="48">
        <f t="shared" si="13"/>
        <v>1440</v>
      </c>
      <c r="T41" s="43">
        <f t="shared" si="14"/>
        <v>441</v>
      </c>
      <c r="U41" s="44">
        <f t="shared" si="0"/>
        <v>31</v>
      </c>
      <c r="V41" s="45">
        <v>380</v>
      </c>
      <c r="W41" s="45">
        <v>2650</v>
      </c>
      <c r="X41" s="45" t="s">
        <v>41</v>
      </c>
      <c r="Y41" s="45" t="s">
        <v>42</v>
      </c>
      <c r="Z41" s="1"/>
      <c r="AA41" s="1"/>
    </row>
    <row r="42" spans="1:27" s="49" customFormat="1" ht="16.5" customHeight="1" thickBot="1" x14ac:dyDescent="0.3">
      <c r="A42" s="84">
        <v>40</v>
      </c>
      <c r="B42" s="52" t="s">
        <v>35</v>
      </c>
      <c r="C42" s="41" t="s">
        <v>36</v>
      </c>
      <c r="D42" s="41" t="s">
        <v>69</v>
      </c>
      <c r="E42" s="41" t="s">
        <v>38</v>
      </c>
      <c r="F42" s="41" t="s">
        <v>64</v>
      </c>
      <c r="G42" s="42" t="s">
        <v>70</v>
      </c>
      <c r="H42" s="46" t="s">
        <v>23</v>
      </c>
      <c r="I42" s="62" t="s">
        <v>573</v>
      </c>
      <c r="J42" s="70">
        <v>2002</v>
      </c>
      <c r="K42" s="66" t="s">
        <v>28</v>
      </c>
      <c r="L42" s="41">
        <v>3</v>
      </c>
      <c r="M42" s="41">
        <v>5</v>
      </c>
      <c r="N42" s="47">
        <v>1000</v>
      </c>
      <c r="O42" s="43">
        <f t="shared" si="3"/>
        <v>5</v>
      </c>
      <c r="P42" s="57">
        <v>565</v>
      </c>
      <c r="Q42" s="57">
        <v>562</v>
      </c>
      <c r="R42" s="57">
        <v>553</v>
      </c>
      <c r="S42" s="48">
        <f t="shared" si="13"/>
        <v>1440</v>
      </c>
      <c r="T42" s="43">
        <f t="shared" si="14"/>
        <v>560</v>
      </c>
      <c r="U42" s="44">
        <f t="shared" si="0"/>
        <v>39</v>
      </c>
      <c r="V42" s="45">
        <v>380</v>
      </c>
      <c r="W42" s="45">
        <v>2650</v>
      </c>
      <c r="X42" s="45" t="s">
        <v>41</v>
      </c>
      <c r="Y42" s="45" t="s">
        <v>42</v>
      </c>
      <c r="Z42" s="1">
        <f t="shared" si="15"/>
        <v>3</v>
      </c>
      <c r="AA42" s="1">
        <f t="shared" si="16"/>
        <v>-10.392304845413264</v>
      </c>
    </row>
    <row r="43" spans="1:27" s="49" customFormat="1" ht="16.5" customHeight="1" thickBot="1" x14ac:dyDescent="0.3">
      <c r="A43" s="84">
        <v>41</v>
      </c>
      <c r="B43" s="52" t="s">
        <v>35</v>
      </c>
      <c r="C43" s="41" t="s">
        <v>36</v>
      </c>
      <c r="D43" s="41" t="s">
        <v>69</v>
      </c>
      <c r="E43" s="41" t="s">
        <v>38</v>
      </c>
      <c r="F43" s="41" t="s">
        <v>64</v>
      </c>
      <c r="G43" s="42" t="s">
        <v>71</v>
      </c>
      <c r="H43" s="46" t="s">
        <v>23</v>
      </c>
      <c r="I43" s="62" t="s">
        <v>573</v>
      </c>
      <c r="J43" s="70">
        <v>2002</v>
      </c>
      <c r="K43" s="66" t="s">
        <v>28</v>
      </c>
      <c r="L43" s="41">
        <v>3</v>
      </c>
      <c r="M43" s="41">
        <v>6</v>
      </c>
      <c r="N43" s="47">
        <v>1000</v>
      </c>
      <c r="O43" s="43">
        <f t="shared" si="3"/>
        <v>4.6666666666666288</v>
      </c>
      <c r="P43" s="57">
        <v>529</v>
      </c>
      <c r="Q43" s="57">
        <v>518</v>
      </c>
      <c r="R43" s="57">
        <v>526</v>
      </c>
      <c r="S43" s="48">
        <f t="shared" si="13"/>
        <v>1440</v>
      </c>
      <c r="T43" s="43">
        <f t="shared" si="14"/>
        <v>524.33333333333337</v>
      </c>
      <c r="U43" s="44">
        <f t="shared" si="0"/>
        <v>36</v>
      </c>
      <c r="V43" s="45">
        <v>381</v>
      </c>
      <c r="W43" s="45">
        <v>2650</v>
      </c>
      <c r="X43" s="45" t="s">
        <v>41</v>
      </c>
      <c r="Y43" s="45" t="s">
        <v>42</v>
      </c>
      <c r="Z43" s="1">
        <f t="shared" si="15"/>
        <v>-9.5</v>
      </c>
      <c r="AA43" s="1">
        <f t="shared" si="16"/>
        <v>-2.598076211353316</v>
      </c>
    </row>
    <row r="44" spans="1:27" s="49" customFormat="1" ht="16.5" customHeight="1" thickBot="1" x14ac:dyDescent="0.25">
      <c r="A44" s="84">
        <v>42</v>
      </c>
      <c r="B44" s="52" t="s">
        <v>35</v>
      </c>
      <c r="C44" s="41" t="s">
        <v>36</v>
      </c>
      <c r="D44" s="41" t="s">
        <v>69</v>
      </c>
      <c r="E44" s="41" t="s">
        <v>38</v>
      </c>
      <c r="F44" s="41" t="s">
        <v>64</v>
      </c>
      <c r="G44" s="42" t="s">
        <v>74</v>
      </c>
      <c r="H44" s="46" t="s">
        <v>23</v>
      </c>
      <c r="I44" s="62"/>
      <c r="J44" s="70"/>
      <c r="K44" s="66" t="s">
        <v>28</v>
      </c>
      <c r="L44" s="41">
        <v>3</v>
      </c>
      <c r="M44" s="41">
        <v>1</v>
      </c>
      <c r="N44" s="47">
        <v>300</v>
      </c>
      <c r="O44" s="43">
        <f t="shared" si="3"/>
        <v>5</v>
      </c>
      <c r="P44" s="47">
        <v>132</v>
      </c>
      <c r="Q44" s="47">
        <v>139</v>
      </c>
      <c r="R44" s="47">
        <v>131</v>
      </c>
      <c r="S44" s="48">
        <f t="shared" si="13"/>
        <v>432</v>
      </c>
      <c r="T44" s="43">
        <f t="shared" si="14"/>
        <v>134</v>
      </c>
      <c r="U44" s="44">
        <f t="shared" si="0"/>
        <v>31</v>
      </c>
      <c r="V44" s="45">
        <v>380</v>
      </c>
      <c r="W44" s="45">
        <v>2650</v>
      </c>
      <c r="X44" s="45" t="s">
        <v>41</v>
      </c>
      <c r="Y44" s="45" t="s">
        <v>42</v>
      </c>
      <c r="Z44" s="1">
        <f t="shared" si="15"/>
        <v>7.5</v>
      </c>
      <c r="AA44" s="1">
        <f t="shared" si="16"/>
        <v>-0.86602540378443393</v>
      </c>
    </row>
    <row r="45" spans="1:27" s="49" customFormat="1" ht="16.5" customHeight="1" thickBot="1" x14ac:dyDescent="0.25">
      <c r="A45" s="84">
        <v>43</v>
      </c>
      <c r="B45" s="52" t="s">
        <v>35</v>
      </c>
      <c r="C45" s="41" t="s">
        <v>36</v>
      </c>
      <c r="D45" s="41" t="s">
        <v>69</v>
      </c>
      <c r="E45" s="41" t="s">
        <v>38</v>
      </c>
      <c r="F45" s="41" t="s">
        <v>64</v>
      </c>
      <c r="G45" s="42" t="s">
        <v>405</v>
      </c>
      <c r="H45" s="46" t="s">
        <v>26</v>
      </c>
      <c r="I45" s="63"/>
      <c r="J45" s="71"/>
      <c r="K45" s="66" t="s">
        <v>25</v>
      </c>
      <c r="L45" s="41">
        <v>3</v>
      </c>
      <c r="M45" s="41"/>
      <c r="N45" s="47">
        <v>300</v>
      </c>
      <c r="O45" s="43">
        <f t="shared" si="3"/>
        <v>10</v>
      </c>
      <c r="P45" s="47">
        <v>170</v>
      </c>
      <c r="Q45" s="47">
        <v>165</v>
      </c>
      <c r="R45" s="47">
        <v>145</v>
      </c>
      <c r="S45" s="48">
        <f t="shared" si="13"/>
        <v>432</v>
      </c>
      <c r="T45" s="43">
        <f t="shared" si="14"/>
        <v>160</v>
      </c>
      <c r="U45" s="44">
        <f t="shared" si="0"/>
        <v>37</v>
      </c>
      <c r="V45" s="45">
        <v>380</v>
      </c>
      <c r="W45" s="45">
        <v>2650</v>
      </c>
      <c r="X45" s="45" t="s">
        <v>41</v>
      </c>
      <c r="Y45" s="45" t="s">
        <v>42</v>
      </c>
      <c r="Z45" s="1">
        <f t="shared" si="15"/>
        <v>7.5</v>
      </c>
      <c r="AA45" s="1">
        <f t="shared" si="16"/>
        <v>-21.650635094610962</v>
      </c>
    </row>
    <row r="46" spans="1:27" s="49" customFormat="1" ht="16.5" customHeight="1" thickBot="1" x14ac:dyDescent="0.25">
      <c r="A46" s="84">
        <v>44</v>
      </c>
      <c r="B46" s="52" t="s">
        <v>35</v>
      </c>
      <c r="C46" s="41" t="s">
        <v>36</v>
      </c>
      <c r="D46" s="41" t="s">
        <v>69</v>
      </c>
      <c r="E46" s="41" t="s">
        <v>38</v>
      </c>
      <c r="F46" s="41" t="s">
        <v>64</v>
      </c>
      <c r="G46" s="42" t="s">
        <v>406</v>
      </c>
      <c r="H46" s="46" t="s">
        <v>26</v>
      </c>
      <c r="I46" s="63"/>
      <c r="J46" s="71"/>
      <c r="K46" s="66" t="s">
        <v>25</v>
      </c>
      <c r="L46" s="41">
        <v>3</v>
      </c>
      <c r="M46" s="41"/>
      <c r="N46" s="47">
        <v>200</v>
      </c>
      <c r="O46" s="43">
        <f t="shared" si="3"/>
        <v>14.666666666666671</v>
      </c>
      <c r="P46" s="47">
        <v>120</v>
      </c>
      <c r="Q46" s="47">
        <v>137</v>
      </c>
      <c r="R46" s="47">
        <v>110</v>
      </c>
      <c r="S46" s="48">
        <f t="shared" si="13"/>
        <v>288</v>
      </c>
      <c r="T46" s="43">
        <f t="shared" si="14"/>
        <v>122.33333333333333</v>
      </c>
      <c r="U46" s="44">
        <f t="shared" si="0"/>
        <v>42</v>
      </c>
      <c r="V46" s="45">
        <v>380</v>
      </c>
      <c r="W46" s="45">
        <v>2650</v>
      </c>
      <c r="X46" s="45" t="s">
        <v>41</v>
      </c>
      <c r="Y46" s="45" t="s">
        <v>42</v>
      </c>
      <c r="Z46" s="1">
        <f t="shared" si="15"/>
        <v>22</v>
      </c>
      <c r="AA46" s="1">
        <f t="shared" si="16"/>
        <v>-8.660254037844382</v>
      </c>
    </row>
    <row r="47" spans="1:27" s="49" customFormat="1" ht="16.5" customHeight="1" thickBot="1" x14ac:dyDescent="0.25">
      <c r="A47" s="84">
        <v>45</v>
      </c>
      <c r="B47" s="52" t="s">
        <v>35</v>
      </c>
      <c r="C47" s="41" t="s">
        <v>36</v>
      </c>
      <c r="D47" s="41" t="s">
        <v>69</v>
      </c>
      <c r="E47" s="41" t="s">
        <v>38</v>
      </c>
      <c r="F47" s="41" t="s">
        <v>64</v>
      </c>
      <c r="G47" s="42" t="s">
        <v>407</v>
      </c>
      <c r="H47" s="46" t="s">
        <v>26</v>
      </c>
      <c r="I47" s="63"/>
      <c r="J47" s="71"/>
      <c r="K47" s="66" t="s">
        <v>25</v>
      </c>
      <c r="L47" s="41">
        <v>3</v>
      </c>
      <c r="M47" s="41"/>
      <c r="N47" s="47">
        <v>300</v>
      </c>
      <c r="O47" s="43">
        <f t="shared" si="3"/>
        <v>9.6666666666666572</v>
      </c>
      <c r="P47" s="47">
        <v>170</v>
      </c>
      <c r="Q47" s="47">
        <v>181</v>
      </c>
      <c r="R47" s="47">
        <v>190</v>
      </c>
      <c r="S47" s="48">
        <f t="shared" si="13"/>
        <v>432</v>
      </c>
      <c r="T47" s="43">
        <f t="shared" si="14"/>
        <v>180.33333333333334</v>
      </c>
      <c r="U47" s="44">
        <f t="shared" si="0"/>
        <v>42</v>
      </c>
      <c r="V47" s="45">
        <v>380</v>
      </c>
      <c r="W47" s="45">
        <v>2650</v>
      </c>
      <c r="X47" s="45" t="s">
        <v>41</v>
      </c>
      <c r="Y47" s="45" t="s">
        <v>42</v>
      </c>
      <c r="Z47" s="1">
        <f t="shared" si="15"/>
        <v>1</v>
      </c>
      <c r="AA47" s="1">
        <f t="shared" si="16"/>
        <v>17.320508075688764</v>
      </c>
    </row>
    <row r="48" spans="1:27" s="49" customFormat="1" ht="16.5" customHeight="1" thickBot="1" x14ac:dyDescent="0.25">
      <c r="A48" s="84">
        <v>46</v>
      </c>
      <c r="B48" s="52" t="s">
        <v>35</v>
      </c>
      <c r="C48" s="41" t="s">
        <v>36</v>
      </c>
      <c r="D48" s="41" t="s">
        <v>69</v>
      </c>
      <c r="E48" s="41" t="s">
        <v>38</v>
      </c>
      <c r="F48" s="41" t="s">
        <v>64</v>
      </c>
      <c r="G48" s="42" t="s">
        <v>408</v>
      </c>
      <c r="H48" s="46" t="s">
        <v>26</v>
      </c>
      <c r="I48" s="63"/>
      <c r="J48" s="71"/>
      <c r="K48" s="66" t="s">
        <v>25</v>
      </c>
      <c r="L48" s="41">
        <v>3</v>
      </c>
      <c r="M48" s="41"/>
      <c r="N48" s="47">
        <v>500</v>
      </c>
      <c r="O48" s="43">
        <f t="shared" si="3"/>
        <v>10.333333333333314</v>
      </c>
      <c r="P48" s="47">
        <v>335</v>
      </c>
      <c r="Q48" s="47">
        <v>324</v>
      </c>
      <c r="R48" s="47">
        <v>315</v>
      </c>
      <c r="S48" s="48">
        <f t="shared" si="13"/>
        <v>720</v>
      </c>
      <c r="T48" s="43">
        <f t="shared" si="14"/>
        <v>324.66666666666669</v>
      </c>
      <c r="U48" s="44">
        <f t="shared" si="0"/>
        <v>45</v>
      </c>
      <c r="V48" s="45">
        <v>380</v>
      </c>
      <c r="W48" s="45">
        <v>2650</v>
      </c>
      <c r="X48" s="45" t="s">
        <v>41</v>
      </c>
      <c r="Y48" s="45" t="s">
        <v>42</v>
      </c>
      <c r="Z48" s="1">
        <f t="shared" si="15"/>
        <v>-1</v>
      </c>
      <c r="AA48" s="1">
        <f t="shared" si="16"/>
        <v>-17.320508075688736</v>
      </c>
    </row>
    <row r="49" spans="1:27" s="49" customFormat="1" ht="16.5" customHeight="1" thickBot="1" x14ac:dyDescent="0.25">
      <c r="A49" s="98">
        <v>47</v>
      </c>
      <c r="B49" s="102" t="s">
        <v>35</v>
      </c>
      <c r="C49" s="103" t="s">
        <v>36</v>
      </c>
      <c r="D49" s="103" t="s">
        <v>37</v>
      </c>
      <c r="E49" s="103" t="s">
        <v>38</v>
      </c>
      <c r="F49" s="103" t="s">
        <v>64</v>
      </c>
      <c r="G49" s="99" t="s">
        <v>67</v>
      </c>
      <c r="H49" s="115" t="s">
        <v>23</v>
      </c>
      <c r="I49" s="121" t="s">
        <v>573</v>
      </c>
      <c r="J49" s="122">
        <v>2020</v>
      </c>
      <c r="K49" s="116" t="s">
        <v>25</v>
      </c>
      <c r="L49" s="103">
        <v>3</v>
      </c>
      <c r="M49" s="103">
        <v>5</v>
      </c>
      <c r="N49" s="117">
        <v>800</v>
      </c>
      <c r="O49" s="118">
        <f t="shared" si="3"/>
        <v>5.3333333333333144</v>
      </c>
      <c r="P49" s="117">
        <v>408</v>
      </c>
      <c r="Q49" s="117">
        <v>415</v>
      </c>
      <c r="R49" s="117">
        <v>406</v>
      </c>
      <c r="S49" s="120">
        <f>1.44*N49</f>
        <v>1152</v>
      </c>
      <c r="T49" s="118">
        <f>(R49+Q49+P49)/3</f>
        <v>409.66666666666669</v>
      </c>
      <c r="U49" s="100">
        <f t="shared" si="0"/>
        <v>36</v>
      </c>
      <c r="V49" s="104">
        <v>382</v>
      </c>
      <c r="W49" s="104">
        <v>2650</v>
      </c>
      <c r="X49" s="104" t="s">
        <v>41</v>
      </c>
      <c r="Y49" s="104" t="s">
        <v>42</v>
      </c>
      <c r="Z49" s="1"/>
      <c r="AA49" s="1"/>
    </row>
    <row r="50" spans="1:27" s="49" customFormat="1" ht="16.5" customHeight="1" thickBot="1" x14ac:dyDescent="0.25">
      <c r="A50" s="84">
        <v>48</v>
      </c>
      <c r="B50" s="52" t="s">
        <v>35</v>
      </c>
      <c r="C50" s="41" t="s">
        <v>36</v>
      </c>
      <c r="D50" s="41" t="s">
        <v>37</v>
      </c>
      <c r="E50" s="41" t="s">
        <v>38</v>
      </c>
      <c r="F50" s="41" t="s">
        <v>64</v>
      </c>
      <c r="G50" s="42" t="s">
        <v>559</v>
      </c>
      <c r="H50" s="46" t="s">
        <v>26</v>
      </c>
      <c r="I50" s="62"/>
      <c r="J50" s="70"/>
      <c r="K50" s="66" t="s">
        <v>28</v>
      </c>
      <c r="L50" s="41">
        <v>3</v>
      </c>
      <c r="M50" s="41"/>
      <c r="N50" s="47">
        <v>500</v>
      </c>
      <c r="O50" s="43">
        <f t="shared" si="3"/>
        <v>9</v>
      </c>
      <c r="P50" s="47">
        <v>312</v>
      </c>
      <c r="Q50" s="47">
        <v>305</v>
      </c>
      <c r="R50" s="47">
        <v>322</v>
      </c>
      <c r="S50" s="48">
        <f t="shared" ref="S50:S54" si="17">1.44*N50</f>
        <v>720</v>
      </c>
      <c r="T50" s="43">
        <f t="shared" ref="T50:T53" si="18">(R50+Q50+P50)/3</f>
        <v>313</v>
      </c>
      <c r="U50" s="44">
        <f t="shared" si="0"/>
        <v>43</v>
      </c>
      <c r="V50" s="45">
        <v>382</v>
      </c>
      <c r="W50" s="45">
        <v>2600</v>
      </c>
      <c r="X50" s="45" t="s">
        <v>41</v>
      </c>
      <c r="Y50" s="45" t="s">
        <v>42</v>
      </c>
      <c r="Z50" s="1"/>
      <c r="AA50" s="1"/>
    </row>
    <row r="51" spans="1:27" s="49" customFormat="1" ht="16.5" customHeight="1" thickBot="1" x14ac:dyDescent="0.25">
      <c r="A51" s="84">
        <v>49</v>
      </c>
      <c r="B51" s="52" t="s">
        <v>35</v>
      </c>
      <c r="C51" s="41" t="s">
        <v>36</v>
      </c>
      <c r="D51" s="41" t="s">
        <v>37</v>
      </c>
      <c r="E51" s="41" t="s">
        <v>38</v>
      </c>
      <c r="F51" s="41" t="s">
        <v>75</v>
      </c>
      <c r="G51" s="42" t="s">
        <v>409</v>
      </c>
      <c r="H51" s="46" t="s">
        <v>26</v>
      </c>
      <c r="I51" s="64"/>
      <c r="J51" s="72"/>
      <c r="K51" s="66" t="s">
        <v>28</v>
      </c>
      <c r="L51" s="41">
        <v>3</v>
      </c>
      <c r="M51" s="41"/>
      <c r="N51" s="47">
        <v>1000</v>
      </c>
      <c r="O51" s="43">
        <f t="shared" si="3"/>
        <v>13.333333333333371</v>
      </c>
      <c r="P51" s="47">
        <v>564</v>
      </c>
      <c r="Q51" s="47">
        <v>580</v>
      </c>
      <c r="R51" s="47">
        <v>556</v>
      </c>
      <c r="S51" s="48">
        <f t="shared" si="17"/>
        <v>1440</v>
      </c>
      <c r="T51" s="43">
        <f t="shared" si="18"/>
        <v>566.66666666666663</v>
      </c>
      <c r="U51" s="44">
        <f t="shared" si="0"/>
        <v>39</v>
      </c>
      <c r="V51" s="45">
        <v>382</v>
      </c>
      <c r="W51" s="45">
        <v>2650</v>
      </c>
      <c r="X51" s="45" t="s">
        <v>41</v>
      </c>
      <c r="Y51" s="45" t="s">
        <v>42</v>
      </c>
      <c r="Z51" s="1">
        <f t="shared" si="15"/>
        <v>20</v>
      </c>
      <c r="AA51" s="1">
        <f t="shared" si="16"/>
        <v>-6.9282032302754715</v>
      </c>
    </row>
    <row r="52" spans="1:27" s="49" customFormat="1" ht="16.5" customHeight="1" thickBot="1" x14ac:dyDescent="0.25">
      <c r="A52" s="84">
        <v>50</v>
      </c>
      <c r="B52" s="52" t="s">
        <v>35</v>
      </c>
      <c r="C52" s="41" t="s">
        <v>36</v>
      </c>
      <c r="D52" s="41" t="s">
        <v>37</v>
      </c>
      <c r="E52" s="41" t="s">
        <v>38</v>
      </c>
      <c r="F52" s="41" t="s">
        <v>75</v>
      </c>
      <c r="G52" s="42" t="s">
        <v>578</v>
      </c>
      <c r="H52" s="46" t="s">
        <v>26</v>
      </c>
      <c r="I52" s="64"/>
      <c r="J52" s="72"/>
      <c r="K52" s="66" t="s">
        <v>25</v>
      </c>
      <c r="L52" s="41">
        <v>3</v>
      </c>
      <c r="M52" s="41"/>
      <c r="N52" s="47">
        <v>800</v>
      </c>
      <c r="O52" s="43">
        <f t="shared" si="3"/>
        <v>11.333333333333314</v>
      </c>
      <c r="P52" s="47">
        <v>444</v>
      </c>
      <c r="Q52" s="47">
        <v>462</v>
      </c>
      <c r="R52" s="47">
        <v>470</v>
      </c>
      <c r="S52" s="48">
        <f t="shared" si="17"/>
        <v>1152</v>
      </c>
      <c r="T52" s="43">
        <f t="shared" si="18"/>
        <v>458.66666666666669</v>
      </c>
      <c r="U52" s="44">
        <f t="shared" si="0"/>
        <v>40</v>
      </c>
      <c r="V52" s="45">
        <v>382</v>
      </c>
      <c r="W52" s="45">
        <v>2650</v>
      </c>
      <c r="X52" s="45" t="s">
        <v>41</v>
      </c>
      <c r="Y52" s="45" t="s">
        <v>42</v>
      </c>
      <c r="Z52" s="1"/>
      <c r="AA52" s="1"/>
    </row>
    <row r="53" spans="1:27" s="49" customFormat="1" ht="16.5" customHeight="1" thickBot="1" x14ac:dyDescent="0.25">
      <c r="A53" s="84">
        <v>51</v>
      </c>
      <c r="B53" s="52" t="s">
        <v>35</v>
      </c>
      <c r="C53" s="41" t="s">
        <v>36</v>
      </c>
      <c r="D53" s="41" t="s">
        <v>37</v>
      </c>
      <c r="E53" s="41" t="s">
        <v>38</v>
      </c>
      <c r="F53" s="41" t="s">
        <v>75</v>
      </c>
      <c r="G53" s="42" t="s">
        <v>410</v>
      </c>
      <c r="H53" s="46" t="s">
        <v>26</v>
      </c>
      <c r="I53" s="65"/>
      <c r="J53" s="73"/>
      <c r="K53" s="66" t="s">
        <v>25</v>
      </c>
      <c r="L53" s="41">
        <v>3</v>
      </c>
      <c r="M53" s="41">
        <v>3</v>
      </c>
      <c r="N53" s="47">
        <v>500</v>
      </c>
      <c r="O53" s="43">
        <f t="shared" si="3"/>
        <v>6.3333333333333428</v>
      </c>
      <c r="P53" s="47">
        <v>254</v>
      </c>
      <c r="Q53" s="47">
        <v>250</v>
      </c>
      <c r="R53" s="47">
        <v>239</v>
      </c>
      <c r="S53" s="48">
        <f t="shared" si="17"/>
        <v>720</v>
      </c>
      <c r="T53" s="43">
        <f t="shared" si="18"/>
        <v>247.66666666666666</v>
      </c>
      <c r="U53" s="44">
        <f t="shared" si="0"/>
        <v>34</v>
      </c>
      <c r="V53" s="45">
        <v>382</v>
      </c>
      <c r="W53" s="45">
        <v>2650</v>
      </c>
      <c r="X53" s="45" t="s">
        <v>41</v>
      </c>
      <c r="Y53" s="45" t="s">
        <v>42</v>
      </c>
      <c r="Z53" s="1">
        <f t="shared" si="15"/>
        <v>3.5</v>
      </c>
      <c r="AA53" s="1">
        <f t="shared" si="16"/>
        <v>-12.99038105676658</v>
      </c>
    </row>
    <row r="54" spans="1:27" s="49" customFormat="1" ht="16.5" customHeight="1" thickBot="1" x14ac:dyDescent="0.3">
      <c r="A54" s="84">
        <v>52</v>
      </c>
      <c r="B54" s="52" t="s">
        <v>35</v>
      </c>
      <c r="C54" s="41" t="s">
        <v>36</v>
      </c>
      <c r="D54" s="41" t="s">
        <v>37</v>
      </c>
      <c r="E54" s="41" t="s">
        <v>38</v>
      </c>
      <c r="F54" s="41" t="s">
        <v>75</v>
      </c>
      <c r="G54" s="42" t="s">
        <v>76</v>
      </c>
      <c r="H54" s="46" t="s">
        <v>23</v>
      </c>
      <c r="I54" s="64" t="s">
        <v>573</v>
      </c>
      <c r="J54" s="72">
        <v>1997</v>
      </c>
      <c r="K54" s="66" t="s">
        <v>28</v>
      </c>
      <c r="L54" s="41">
        <v>3</v>
      </c>
      <c r="M54" s="41"/>
      <c r="N54" s="47">
        <v>500</v>
      </c>
      <c r="O54" s="43">
        <f t="shared" si="3"/>
        <v>4</v>
      </c>
      <c r="P54" s="57">
        <v>256</v>
      </c>
      <c r="Q54" s="57">
        <v>254</v>
      </c>
      <c r="R54" s="57">
        <v>261</v>
      </c>
      <c r="S54" s="48">
        <f t="shared" si="17"/>
        <v>720</v>
      </c>
      <c r="T54" s="43">
        <f t="shared" ref="T54:T64" si="19">(R54+Q54+P54)/3</f>
        <v>257</v>
      </c>
      <c r="U54" s="44">
        <f t="shared" si="0"/>
        <v>36</v>
      </c>
      <c r="V54" s="45">
        <v>381</v>
      </c>
      <c r="W54" s="45">
        <v>2600</v>
      </c>
      <c r="X54" s="45" t="s">
        <v>41</v>
      </c>
      <c r="Y54" s="45" t="s">
        <v>42</v>
      </c>
      <c r="Z54" s="1">
        <f t="shared" si="15"/>
        <v>-4.5</v>
      </c>
      <c r="AA54" s="1">
        <f t="shared" si="16"/>
        <v>4.3301270189221839</v>
      </c>
    </row>
    <row r="55" spans="1:27" s="49" customFormat="1" ht="16.5" customHeight="1" thickBot="1" x14ac:dyDescent="0.3">
      <c r="A55" s="84">
        <v>53</v>
      </c>
      <c r="B55" s="52" t="s">
        <v>35</v>
      </c>
      <c r="C55" s="41" t="s">
        <v>36</v>
      </c>
      <c r="D55" s="41" t="s">
        <v>37</v>
      </c>
      <c r="E55" s="41" t="s">
        <v>38</v>
      </c>
      <c r="F55" s="41" t="s">
        <v>75</v>
      </c>
      <c r="G55" s="42" t="s">
        <v>77</v>
      </c>
      <c r="H55" s="46" t="s">
        <v>23</v>
      </c>
      <c r="I55" s="64"/>
      <c r="J55" s="72"/>
      <c r="K55" s="66" t="s">
        <v>28</v>
      </c>
      <c r="L55" s="41">
        <v>3</v>
      </c>
      <c r="M55" s="41"/>
      <c r="N55" s="47">
        <v>500</v>
      </c>
      <c r="O55" s="43">
        <f t="shared" si="3"/>
        <v>5.3333333333333428</v>
      </c>
      <c r="P55" s="57">
        <v>241</v>
      </c>
      <c r="Q55" s="57">
        <v>251</v>
      </c>
      <c r="R55" s="57">
        <v>245</v>
      </c>
      <c r="S55" s="48">
        <f t="shared" ref="S55:S64" si="20">1.44*N55</f>
        <v>720</v>
      </c>
      <c r="T55" s="43">
        <f t="shared" si="19"/>
        <v>245.66666666666666</v>
      </c>
      <c r="U55" s="44">
        <f t="shared" si="0"/>
        <v>34</v>
      </c>
      <c r="V55" s="45">
        <v>381</v>
      </c>
      <c r="W55" s="45">
        <v>2600</v>
      </c>
      <c r="X55" s="45" t="s">
        <v>41</v>
      </c>
      <c r="Y55" s="45" t="s">
        <v>42</v>
      </c>
      <c r="Z55" s="1">
        <f t="shared" si="15"/>
        <v>8</v>
      </c>
      <c r="AA55" s="1">
        <f t="shared" si="16"/>
        <v>3.4641016151377642</v>
      </c>
    </row>
    <row r="56" spans="1:27" s="49" customFormat="1" ht="16.5" customHeight="1" thickBot="1" x14ac:dyDescent="0.3">
      <c r="A56" s="84">
        <v>54</v>
      </c>
      <c r="B56" s="52" t="s">
        <v>35</v>
      </c>
      <c r="C56" s="41" t="s">
        <v>36</v>
      </c>
      <c r="D56" s="41" t="s">
        <v>37</v>
      </c>
      <c r="E56" s="41" t="s">
        <v>38</v>
      </c>
      <c r="F56" s="41" t="s">
        <v>75</v>
      </c>
      <c r="G56" s="42" t="s">
        <v>78</v>
      </c>
      <c r="H56" s="46" t="s">
        <v>23</v>
      </c>
      <c r="I56" s="65"/>
      <c r="J56" s="73"/>
      <c r="K56" s="66" t="s">
        <v>25</v>
      </c>
      <c r="L56" s="41">
        <v>3</v>
      </c>
      <c r="M56" s="41"/>
      <c r="N56" s="47">
        <v>500</v>
      </c>
      <c r="O56" s="43">
        <f t="shared" si="3"/>
        <v>5.3333333333333428</v>
      </c>
      <c r="P56" s="57">
        <v>243</v>
      </c>
      <c r="Q56" s="57">
        <v>231</v>
      </c>
      <c r="R56" s="57">
        <v>239</v>
      </c>
      <c r="S56" s="48">
        <f t="shared" si="20"/>
        <v>720</v>
      </c>
      <c r="T56" s="43">
        <f t="shared" si="19"/>
        <v>237.66666666666666</v>
      </c>
      <c r="U56" s="44">
        <f t="shared" si="0"/>
        <v>33</v>
      </c>
      <c r="V56" s="45">
        <v>382</v>
      </c>
      <c r="W56" s="45">
        <v>2600</v>
      </c>
      <c r="X56" s="45" t="s">
        <v>41</v>
      </c>
      <c r="Y56" s="45" t="s">
        <v>42</v>
      </c>
      <c r="Z56" s="1">
        <f t="shared" si="15"/>
        <v>-10</v>
      </c>
      <c r="AA56" s="1">
        <f t="shared" si="16"/>
        <v>-3.4641016151377357</v>
      </c>
    </row>
    <row r="57" spans="1:27" s="49" customFormat="1" ht="16.5" customHeight="1" thickBot="1" x14ac:dyDescent="0.3">
      <c r="A57" s="84">
        <v>55</v>
      </c>
      <c r="B57" s="52" t="s">
        <v>35</v>
      </c>
      <c r="C57" s="41" t="s">
        <v>36</v>
      </c>
      <c r="D57" s="41" t="s">
        <v>37</v>
      </c>
      <c r="E57" s="41" t="s">
        <v>38</v>
      </c>
      <c r="F57" s="41" t="s">
        <v>75</v>
      </c>
      <c r="G57" s="42" t="s">
        <v>79</v>
      </c>
      <c r="H57" s="46" t="s">
        <v>23</v>
      </c>
      <c r="I57" s="63" t="s">
        <v>573</v>
      </c>
      <c r="J57" s="71"/>
      <c r="K57" s="66" t="s">
        <v>25</v>
      </c>
      <c r="L57" s="41">
        <v>3</v>
      </c>
      <c r="M57" s="41">
        <v>2</v>
      </c>
      <c r="N57" s="47">
        <v>200</v>
      </c>
      <c r="O57" s="43">
        <f t="shared" si="3"/>
        <v>5.3333333333333428</v>
      </c>
      <c r="P57" s="57">
        <v>135</v>
      </c>
      <c r="Q57" s="57">
        <v>131</v>
      </c>
      <c r="R57" s="57">
        <v>123</v>
      </c>
      <c r="S57" s="48">
        <f t="shared" si="20"/>
        <v>288</v>
      </c>
      <c r="T57" s="43">
        <f t="shared" si="19"/>
        <v>129.66666666666666</v>
      </c>
      <c r="U57" s="44">
        <f t="shared" si="0"/>
        <v>45</v>
      </c>
      <c r="V57" s="45">
        <v>382</v>
      </c>
      <c r="W57" s="45">
        <v>2600</v>
      </c>
      <c r="X57" s="45" t="s">
        <v>41</v>
      </c>
      <c r="Y57" s="45" t="s">
        <v>42</v>
      </c>
      <c r="Z57" s="1">
        <f t="shared" si="15"/>
        <v>2</v>
      </c>
      <c r="AA57" s="1">
        <f t="shared" si="16"/>
        <v>-10.392304845413264</v>
      </c>
    </row>
    <row r="58" spans="1:27" s="49" customFormat="1" ht="21" customHeight="1" thickBot="1" x14ac:dyDescent="0.3">
      <c r="A58" s="84">
        <v>56</v>
      </c>
      <c r="B58" s="52" t="s">
        <v>35</v>
      </c>
      <c r="C58" s="41" t="s">
        <v>36</v>
      </c>
      <c r="D58" s="41" t="s">
        <v>37</v>
      </c>
      <c r="E58" s="41" t="s">
        <v>38</v>
      </c>
      <c r="F58" s="41" t="s">
        <v>75</v>
      </c>
      <c r="G58" s="42" t="s">
        <v>80</v>
      </c>
      <c r="H58" s="46" t="s">
        <v>23</v>
      </c>
      <c r="I58" s="74" t="s">
        <v>593</v>
      </c>
      <c r="J58" s="70">
        <v>2010</v>
      </c>
      <c r="K58" s="66" t="s">
        <v>28</v>
      </c>
      <c r="L58" s="41">
        <v>3</v>
      </c>
      <c r="M58" s="41">
        <v>1</v>
      </c>
      <c r="N58" s="47">
        <v>800</v>
      </c>
      <c r="O58" s="43">
        <f t="shared" si="3"/>
        <v>4.6666666666666856</v>
      </c>
      <c r="P58" s="57">
        <v>360</v>
      </c>
      <c r="Q58" s="57">
        <v>350</v>
      </c>
      <c r="R58" s="57">
        <v>362</v>
      </c>
      <c r="S58" s="48">
        <f t="shared" si="20"/>
        <v>1152</v>
      </c>
      <c r="T58" s="43">
        <f t="shared" si="19"/>
        <v>357.33333333333331</v>
      </c>
      <c r="U58" s="44">
        <f t="shared" si="0"/>
        <v>31</v>
      </c>
      <c r="V58" s="45">
        <v>383</v>
      </c>
      <c r="W58" s="45">
        <v>2600</v>
      </c>
      <c r="X58" s="45" t="s">
        <v>41</v>
      </c>
      <c r="Y58" s="45" t="s">
        <v>42</v>
      </c>
      <c r="Z58" s="1">
        <f t="shared" si="15"/>
        <v>-11</v>
      </c>
      <c r="AA58" s="1">
        <f t="shared" si="16"/>
        <v>1.7320508075688394</v>
      </c>
    </row>
    <row r="59" spans="1:27" s="49" customFormat="1" ht="16.5" customHeight="1" thickBot="1" x14ac:dyDescent="0.25">
      <c r="A59" s="98">
        <v>57</v>
      </c>
      <c r="B59" s="102" t="s">
        <v>35</v>
      </c>
      <c r="C59" s="103" t="s">
        <v>36</v>
      </c>
      <c r="D59" s="103" t="s">
        <v>37</v>
      </c>
      <c r="E59" s="103" t="s">
        <v>38</v>
      </c>
      <c r="F59" s="103" t="s">
        <v>81</v>
      </c>
      <c r="G59" s="99" t="s">
        <v>82</v>
      </c>
      <c r="H59" s="115" t="s">
        <v>23</v>
      </c>
      <c r="I59" s="121" t="s">
        <v>591</v>
      </c>
      <c r="J59" s="122">
        <v>2003</v>
      </c>
      <c r="K59" s="116" t="s">
        <v>25</v>
      </c>
      <c r="L59" s="103">
        <v>3</v>
      </c>
      <c r="M59" s="103">
        <v>4</v>
      </c>
      <c r="N59" s="117">
        <v>500</v>
      </c>
      <c r="O59" s="118">
        <f t="shared" si="3"/>
        <v>5.6666666666666572</v>
      </c>
      <c r="P59" s="117">
        <v>246</v>
      </c>
      <c r="Q59" s="117">
        <v>249</v>
      </c>
      <c r="R59" s="117">
        <v>256</v>
      </c>
      <c r="S59" s="120">
        <f t="shared" si="20"/>
        <v>720</v>
      </c>
      <c r="T59" s="118">
        <f t="shared" si="19"/>
        <v>250.33333333333334</v>
      </c>
      <c r="U59" s="100">
        <f t="shared" si="0"/>
        <v>35</v>
      </c>
      <c r="V59" s="104">
        <v>382</v>
      </c>
      <c r="W59" s="104">
        <v>2650</v>
      </c>
      <c r="X59" s="104" t="s">
        <v>41</v>
      </c>
      <c r="Y59" s="104" t="s">
        <v>42</v>
      </c>
      <c r="Z59" s="1">
        <f t="shared" si="15"/>
        <v>-2</v>
      </c>
      <c r="AA59" s="1">
        <f t="shared" si="16"/>
        <v>8.6602540378443962</v>
      </c>
    </row>
    <row r="60" spans="1:27" s="49" customFormat="1" ht="21.6" customHeight="1" thickBot="1" x14ac:dyDescent="0.3">
      <c r="A60" s="98">
        <v>58</v>
      </c>
      <c r="B60" s="102" t="s">
        <v>35</v>
      </c>
      <c r="C60" s="103" t="s">
        <v>36</v>
      </c>
      <c r="D60" s="103" t="s">
        <v>37</v>
      </c>
      <c r="E60" s="103" t="s">
        <v>38</v>
      </c>
      <c r="F60" s="103" t="s">
        <v>81</v>
      </c>
      <c r="G60" s="99" t="s">
        <v>84</v>
      </c>
      <c r="H60" s="115" t="s">
        <v>23</v>
      </c>
      <c r="I60" s="129" t="s">
        <v>593</v>
      </c>
      <c r="J60" s="108">
        <v>2017</v>
      </c>
      <c r="K60" s="116" t="s">
        <v>28</v>
      </c>
      <c r="L60" s="103">
        <v>3</v>
      </c>
      <c r="M60" s="103"/>
      <c r="N60" s="117">
        <v>800</v>
      </c>
      <c r="O60" s="118">
        <f t="shared" si="3"/>
        <v>6.3333333333333144</v>
      </c>
      <c r="P60" s="119">
        <v>350</v>
      </c>
      <c r="Q60" s="119">
        <v>351</v>
      </c>
      <c r="R60" s="119">
        <v>360</v>
      </c>
      <c r="S60" s="120">
        <f t="shared" si="20"/>
        <v>1152</v>
      </c>
      <c r="T60" s="118">
        <f t="shared" si="19"/>
        <v>353.66666666666669</v>
      </c>
      <c r="U60" s="100">
        <f t="shared" si="0"/>
        <v>31</v>
      </c>
      <c r="V60" s="104">
        <v>380</v>
      </c>
      <c r="W60" s="104">
        <v>2650</v>
      </c>
      <c r="X60" s="104" t="s">
        <v>41</v>
      </c>
      <c r="Y60" s="104" t="s">
        <v>42</v>
      </c>
      <c r="Z60" s="1"/>
      <c r="AA60" s="1"/>
    </row>
    <row r="61" spans="1:27" s="49" customFormat="1" ht="16.5" customHeight="1" thickBot="1" x14ac:dyDescent="0.3">
      <c r="A61" s="98">
        <v>59</v>
      </c>
      <c r="B61" s="102" t="s">
        <v>35</v>
      </c>
      <c r="C61" s="103" t="s">
        <v>36</v>
      </c>
      <c r="D61" s="103" t="s">
        <v>37</v>
      </c>
      <c r="E61" s="103" t="s">
        <v>38</v>
      </c>
      <c r="F61" s="103" t="s">
        <v>81</v>
      </c>
      <c r="G61" s="99" t="s">
        <v>81</v>
      </c>
      <c r="H61" s="115" t="s">
        <v>23</v>
      </c>
      <c r="I61" s="121" t="s">
        <v>573</v>
      </c>
      <c r="J61" s="122">
        <v>1985</v>
      </c>
      <c r="K61" s="116" t="s">
        <v>25</v>
      </c>
      <c r="L61" s="103">
        <v>3</v>
      </c>
      <c r="M61" s="103">
        <v>3</v>
      </c>
      <c r="N61" s="117">
        <v>500</v>
      </c>
      <c r="O61" s="118">
        <f t="shared" si="3"/>
        <v>4.6666666666666856</v>
      </c>
      <c r="P61" s="119">
        <v>252</v>
      </c>
      <c r="Q61" s="119">
        <v>256</v>
      </c>
      <c r="R61" s="119">
        <v>261</v>
      </c>
      <c r="S61" s="120">
        <f t="shared" si="20"/>
        <v>720</v>
      </c>
      <c r="T61" s="118">
        <f t="shared" si="19"/>
        <v>256.33333333333331</v>
      </c>
      <c r="U61" s="100">
        <f t="shared" si="0"/>
        <v>36</v>
      </c>
      <c r="V61" s="104">
        <v>381</v>
      </c>
      <c r="W61" s="104">
        <v>2650</v>
      </c>
      <c r="X61" s="104" t="s">
        <v>41</v>
      </c>
      <c r="Y61" s="104" t="s">
        <v>42</v>
      </c>
      <c r="Z61" s="1">
        <f t="shared" si="15"/>
        <v>-0.5</v>
      </c>
      <c r="AA61" s="1">
        <f t="shared" si="16"/>
        <v>7.794228634059948</v>
      </c>
    </row>
    <row r="62" spans="1:27" s="49" customFormat="1" ht="21" customHeight="1" thickBot="1" x14ac:dyDescent="0.3">
      <c r="A62" s="98">
        <v>60</v>
      </c>
      <c r="B62" s="102" t="s">
        <v>35</v>
      </c>
      <c r="C62" s="103" t="s">
        <v>36</v>
      </c>
      <c r="D62" s="103" t="s">
        <v>37</v>
      </c>
      <c r="E62" s="103" t="s">
        <v>38</v>
      </c>
      <c r="F62" s="103" t="s">
        <v>81</v>
      </c>
      <c r="G62" s="99" t="s">
        <v>83</v>
      </c>
      <c r="H62" s="115" t="s">
        <v>23</v>
      </c>
      <c r="I62" s="128" t="s">
        <v>594</v>
      </c>
      <c r="J62" s="122">
        <v>1985</v>
      </c>
      <c r="K62" s="116" t="s">
        <v>25</v>
      </c>
      <c r="L62" s="103">
        <v>3</v>
      </c>
      <c r="M62" s="103">
        <v>3</v>
      </c>
      <c r="N62" s="117">
        <v>250</v>
      </c>
      <c r="O62" s="118">
        <f t="shared" si="3"/>
        <v>5.3333333333333428</v>
      </c>
      <c r="P62" s="119">
        <v>146</v>
      </c>
      <c r="Q62" s="119">
        <v>141</v>
      </c>
      <c r="R62" s="119">
        <v>135</v>
      </c>
      <c r="S62" s="120">
        <f t="shared" si="20"/>
        <v>360</v>
      </c>
      <c r="T62" s="118">
        <f t="shared" si="19"/>
        <v>140.66666666666666</v>
      </c>
      <c r="U62" s="100">
        <f t="shared" si="0"/>
        <v>39</v>
      </c>
      <c r="V62" s="104">
        <v>380</v>
      </c>
      <c r="W62" s="104">
        <v>2650</v>
      </c>
      <c r="X62" s="104" t="s">
        <v>41</v>
      </c>
      <c r="Y62" s="104" t="s">
        <v>42</v>
      </c>
      <c r="Z62" s="1">
        <f t="shared" si="15"/>
        <v>0.5</v>
      </c>
      <c r="AA62" s="1">
        <f t="shared" si="16"/>
        <v>-9.5262794416288301</v>
      </c>
    </row>
    <row r="63" spans="1:27" s="49" customFormat="1" ht="16.5" customHeight="1" thickBot="1" x14ac:dyDescent="0.25">
      <c r="A63" s="84">
        <v>61</v>
      </c>
      <c r="B63" s="52" t="s">
        <v>35</v>
      </c>
      <c r="C63" s="41" t="s">
        <v>36</v>
      </c>
      <c r="D63" s="41" t="s">
        <v>37</v>
      </c>
      <c r="E63" s="41" t="s">
        <v>38</v>
      </c>
      <c r="F63" s="41" t="s">
        <v>81</v>
      </c>
      <c r="G63" s="42" t="s">
        <v>411</v>
      </c>
      <c r="H63" s="46" t="s">
        <v>26</v>
      </c>
      <c r="I63" s="62"/>
      <c r="J63" s="70"/>
      <c r="K63" s="66" t="s">
        <v>28</v>
      </c>
      <c r="L63" s="41">
        <v>3</v>
      </c>
      <c r="M63" s="41"/>
      <c r="N63" s="47">
        <v>100</v>
      </c>
      <c r="O63" s="43">
        <f t="shared" si="3"/>
        <v>4.3333333333333357</v>
      </c>
      <c r="P63" s="47">
        <v>55</v>
      </c>
      <c r="Q63" s="47">
        <v>60</v>
      </c>
      <c r="R63" s="47">
        <v>52</v>
      </c>
      <c r="S63" s="48">
        <f t="shared" si="20"/>
        <v>144</v>
      </c>
      <c r="T63" s="43">
        <f t="shared" si="19"/>
        <v>55.666666666666664</v>
      </c>
      <c r="U63" s="44">
        <f t="shared" si="0"/>
        <v>39</v>
      </c>
      <c r="V63" s="45">
        <v>380</v>
      </c>
      <c r="W63" s="45">
        <v>2650</v>
      </c>
      <c r="X63" s="45" t="s">
        <v>41</v>
      </c>
      <c r="Y63" s="45" t="s">
        <v>42</v>
      </c>
      <c r="Z63" s="1">
        <f t="shared" si="15"/>
        <v>6.5</v>
      </c>
      <c r="AA63" s="1">
        <f t="shared" si="16"/>
        <v>-2.598076211353316</v>
      </c>
    </row>
    <row r="64" spans="1:27" s="49" customFormat="1" ht="16.5" customHeight="1" thickBot="1" x14ac:dyDescent="0.25">
      <c r="A64" s="84">
        <v>62</v>
      </c>
      <c r="B64" s="52" t="s">
        <v>35</v>
      </c>
      <c r="C64" s="41" t="s">
        <v>36</v>
      </c>
      <c r="D64" s="41" t="s">
        <v>37</v>
      </c>
      <c r="E64" s="41" t="s">
        <v>38</v>
      </c>
      <c r="F64" s="41" t="s">
        <v>81</v>
      </c>
      <c r="G64" s="42" t="s">
        <v>412</v>
      </c>
      <c r="H64" s="46" t="s">
        <v>26</v>
      </c>
      <c r="I64" s="62"/>
      <c r="J64" s="70"/>
      <c r="K64" s="66" t="s">
        <v>28</v>
      </c>
      <c r="L64" s="41">
        <v>3</v>
      </c>
      <c r="M64" s="41"/>
      <c r="N64" s="47">
        <v>100</v>
      </c>
      <c r="O64" s="43">
        <f t="shared" si="3"/>
        <v>4.6666666666666714</v>
      </c>
      <c r="P64" s="47">
        <v>69</v>
      </c>
      <c r="Q64" s="47">
        <v>64</v>
      </c>
      <c r="R64" s="47">
        <v>60</v>
      </c>
      <c r="S64" s="48">
        <f t="shared" si="20"/>
        <v>144</v>
      </c>
      <c r="T64" s="43">
        <f t="shared" si="19"/>
        <v>64.333333333333329</v>
      </c>
      <c r="U64" s="44">
        <f t="shared" si="0"/>
        <v>45</v>
      </c>
      <c r="V64" s="45">
        <v>380</v>
      </c>
      <c r="W64" s="45">
        <v>2650</v>
      </c>
      <c r="X64" s="45" t="s">
        <v>41</v>
      </c>
      <c r="Y64" s="45" t="s">
        <v>42</v>
      </c>
      <c r="Z64" s="1">
        <f t="shared" si="15"/>
        <v>-0.5</v>
      </c>
      <c r="AA64" s="1">
        <f t="shared" si="16"/>
        <v>-7.794228634059948</v>
      </c>
    </row>
    <row r="65" spans="1:27" s="49" customFormat="1" ht="16.5" customHeight="1" thickBot="1" x14ac:dyDescent="0.3">
      <c r="A65" s="84">
        <v>63</v>
      </c>
      <c r="B65" s="52" t="s">
        <v>35</v>
      </c>
      <c r="C65" s="41" t="s">
        <v>36</v>
      </c>
      <c r="D65" s="41" t="s">
        <v>37</v>
      </c>
      <c r="E65" s="41" t="s">
        <v>38</v>
      </c>
      <c r="F65" s="41" t="s">
        <v>81</v>
      </c>
      <c r="G65" s="42" t="s">
        <v>86</v>
      </c>
      <c r="H65" s="46" t="s">
        <v>23</v>
      </c>
      <c r="I65" s="63"/>
      <c r="J65" s="71"/>
      <c r="K65" s="66" t="s">
        <v>25</v>
      </c>
      <c r="L65" s="41">
        <v>3</v>
      </c>
      <c r="M65" s="41">
        <v>3</v>
      </c>
      <c r="N65" s="47">
        <v>500</v>
      </c>
      <c r="O65" s="43">
        <f t="shared" si="3"/>
        <v>5</v>
      </c>
      <c r="P65" s="57">
        <v>246</v>
      </c>
      <c r="Q65" s="57">
        <v>235</v>
      </c>
      <c r="R65" s="57">
        <v>242</v>
      </c>
      <c r="S65" s="48">
        <f>1.44*N65</f>
        <v>720</v>
      </c>
      <c r="T65" s="43">
        <f>(R65+Q65+P65)/3</f>
        <v>241</v>
      </c>
      <c r="U65" s="44">
        <f t="shared" si="0"/>
        <v>33</v>
      </c>
      <c r="V65" s="45">
        <v>380</v>
      </c>
      <c r="W65" s="45">
        <v>2525</v>
      </c>
      <c r="X65" s="45" t="s">
        <v>56</v>
      </c>
      <c r="Y65" s="45" t="s">
        <v>42</v>
      </c>
      <c r="Z65" s="1">
        <f t="shared" si="15"/>
        <v>-9</v>
      </c>
      <c r="AA65" s="1">
        <f t="shared" si="16"/>
        <v>-3.4641016151377357</v>
      </c>
    </row>
    <row r="66" spans="1:27" s="49" customFormat="1" ht="16.5" customHeight="1" thickBot="1" x14ac:dyDescent="0.25">
      <c r="A66" s="84">
        <v>64</v>
      </c>
      <c r="B66" s="52" t="s">
        <v>35</v>
      </c>
      <c r="C66" s="41" t="s">
        <v>36</v>
      </c>
      <c r="D66" s="41" t="s">
        <v>37</v>
      </c>
      <c r="E66" s="41" t="s">
        <v>38</v>
      </c>
      <c r="F66" s="41" t="s">
        <v>81</v>
      </c>
      <c r="G66" s="42" t="s">
        <v>414</v>
      </c>
      <c r="H66" s="46" t="s">
        <v>26</v>
      </c>
      <c r="I66" s="65"/>
      <c r="J66" s="73"/>
      <c r="K66" s="66" t="s">
        <v>25</v>
      </c>
      <c r="L66" s="41">
        <v>3</v>
      </c>
      <c r="M66" s="41"/>
      <c r="N66" s="47">
        <v>500</v>
      </c>
      <c r="O66" s="43">
        <f t="shared" si="3"/>
        <v>6.3333333333333144</v>
      </c>
      <c r="P66" s="47">
        <v>320</v>
      </c>
      <c r="Q66" s="47">
        <v>315</v>
      </c>
      <c r="R66" s="47">
        <v>306</v>
      </c>
      <c r="S66" s="48">
        <f t="shared" ref="S66:S69" si="21">1.44*N66</f>
        <v>720</v>
      </c>
      <c r="T66" s="43">
        <f t="shared" ref="T66:T69" si="22">(R66+Q66+P66)/3</f>
        <v>313.66666666666669</v>
      </c>
      <c r="U66" s="44">
        <f t="shared" ref="U66:U137" si="23">ROUND(((AVERAGE(P66,R66,Q66))/(N66*1.44))*100,0)</f>
        <v>44</v>
      </c>
      <c r="V66" s="45">
        <v>380</v>
      </c>
      <c r="W66" s="45">
        <v>2525</v>
      </c>
      <c r="X66" s="45" t="s">
        <v>56</v>
      </c>
      <c r="Y66" s="45" t="s">
        <v>42</v>
      </c>
      <c r="Z66" s="1">
        <f t="shared" si="15"/>
        <v>2</v>
      </c>
      <c r="AA66" s="1">
        <f t="shared" si="16"/>
        <v>-12.124355652982103</v>
      </c>
    </row>
    <row r="67" spans="1:27" s="49" customFormat="1" ht="16.5" customHeight="1" thickBot="1" x14ac:dyDescent="0.25">
      <c r="A67" s="84">
        <v>65</v>
      </c>
      <c r="B67" s="52" t="s">
        <v>35</v>
      </c>
      <c r="C67" s="41" t="s">
        <v>36</v>
      </c>
      <c r="D67" s="41" t="s">
        <v>37</v>
      </c>
      <c r="E67" s="41" t="s">
        <v>38</v>
      </c>
      <c r="F67" s="41" t="s">
        <v>81</v>
      </c>
      <c r="G67" s="42" t="s">
        <v>415</v>
      </c>
      <c r="H67" s="46" t="s">
        <v>26</v>
      </c>
      <c r="I67" s="64"/>
      <c r="J67" s="72"/>
      <c r="K67" s="66" t="s">
        <v>28</v>
      </c>
      <c r="L67" s="41">
        <v>3</v>
      </c>
      <c r="M67" s="41"/>
      <c r="N67" s="47">
        <v>500</v>
      </c>
      <c r="O67" s="43">
        <f t="shared" si="3"/>
        <v>5</v>
      </c>
      <c r="P67" s="47">
        <v>320</v>
      </c>
      <c r="Q67" s="47">
        <v>325</v>
      </c>
      <c r="R67" s="47">
        <v>315</v>
      </c>
      <c r="S67" s="48">
        <f t="shared" si="21"/>
        <v>720</v>
      </c>
      <c r="T67" s="43">
        <f t="shared" si="22"/>
        <v>320</v>
      </c>
      <c r="U67" s="44">
        <f t="shared" si="23"/>
        <v>44</v>
      </c>
      <c r="V67" s="45">
        <v>380</v>
      </c>
      <c r="W67" s="45">
        <v>2525</v>
      </c>
      <c r="X67" s="45" t="s">
        <v>56</v>
      </c>
      <c r="Y67" s="45" t="s">
        <v>42</v>
      </c>
      <c r="Z67" s="1">
        <f t="shared" ref="Z67:Z92" si="24">Q67-0.5*R67-0.5*P67</f>
        <v>7.5</v>
      </c>
      <c r="AA67" s="1">
        <f t="shared" ref="AA67:AA92" si="25">SQRT(3)/2*R67-SQRT(3)/2*P67</f>
        <v>-4.3301270189221555</v>
      </c>
    </row>
    <row r="68" spans="1:27" s="49" customFormat="1" ht="16.5" customHeight="1" thickBot="1" x14ac:dyDescent="0.25">
      <c r="A68" s="84">
        <v>66</v>
      </c>
      <c r="B68" s="52" t="s">
        <v>35</v>
      </c>
      <c r="C68" s="41" t="s">
        <v>36</v>
      </c>
      <c r="D68" s="41" t="s">
        <v>37</v>
      </c>
      <c r="E68" s="41" t="s">
        <v>38</v>
      </c>
      <c r="F68" s="41" t="s">
        <v>81</v>
      </c>
      <c r="G68" s="42" t="s">
        <v>416</v>
      </c>
      <c r="H68" s="46" t="s">
        <v>26</v>
      </c>
      <c r="I68" s="64"/>
      <c r="J68" s="72"/>
      <c r="K68" s="66" t="s">
        <v>28</v>
      </c>
      <c r="L68" s="41">
        <v>3</v>
      </c>
      <c r="M68" s="41"/>
      <c r="N68" s="47">
        <v>300</v>
      </c>
      <c r="O68" s="43">
        <f t="shared" ref="O68:O81" si="26">MAX(P68:R68)-AVERAGE(P68:R68)</f>
        <v>11.666666666666657</v>
      </c>
      <c r="P68" s="47">
        <v>180</v>
      </c>
      <c r="Q68" s="47">
        <v>195</v>
      </c>
      <c r="R68" s="47">
        <v>205</v>
      </c>
      <c r="S68" s="48">
        <f t="shared" si="21"/>
        <v>432</v>
      </c>
      <c r="T68" s="43">
        <f t="shared" si="22"/>
        <v>193.33333333333334</v>
      </c>
      <c r="U68" s="44">
        <f t="shared" si="23"/>
        <v>45</v>
      </c>
      <c r="V68" s="45">
        <v>380</v>
      </c>
      <c r="W68" s="45">
        <v>2525</v>
      </c>
      <c r="X68" s="45" t="s">
        <v>56</v>
      </c>
      <c r="Y68" s="45" t="s">
        <v>42</v>
      </c>
      <c r="Z68" s="1">
        <f t="shared" si="24"/>
        <v>2.5</v>
      </c>
      <c r="AA68" s="1">
        <f t="shared" si="25"/>
        <v>21.650635094610948</v>
      </c>
    </row>
    <row r="69" spans="1:27" s="49" customFormat="1" ht="16.5" customHeight="1" thickBot="1" x14ac:dyDescent="0.25">
      <c r="A69" s="84">
        <v>67</v>
      </c>
      <c r="B69" s="52" t="s">
        <v>35</v>
      </c>
      <c r="C69" s="41" t="s">
        <v>36</v>
      </c>
      <c r="D69" s="41" t="s">
        <v>37</v>
      </c>
      <c r="E69" s="41" t="s">
        <v>38</v>
      </c>
      <c r="F69" s="41" t="s">
        <v>81</v>
      </c>
      <c r="G69" s="42" t="s">
        <v>417</v>
      </c>
      <c r="H69" s="46" t="s">
        <v>26</v>
      </c>
      <c r="I69" s="64"/>
      <c r="J69" s="72"/>
      <c r="K69" s="66" t="s">
        <v>28</v>
      </c>
      <c r="L69" s="41">
        <v>3</v>
      </c>
      <c r="M69" s="41"/>
      <c r="N69" s="47">
        <v>500</v>
      </c>
      <c r="O69" s="43">
        <f t="shared" si="26"/>
        <v>15.333333333333314</v>
      </c>
      <c r="P69" s="47">
        <v>305</v>
      </c>
      <c r="Q69" s="47">
        <v>289</v>
      </c>
      <c r="R69" s="47">
        <v>320</v>
      </c>
      <c r="S69" s="48">
        <f t="shared" si="21"/>
        <v>720</v>
      </c>
      <c r="T69" s="43">
        <f t="shared" si="22"/>
        <v>304.66666666666669</v>
      </c>
      <c r="U69" s="44">
        <f t="shared" si="23"/>
        <v>42</v>
      </c>
      <c r="V69" s="45">
        <v>380</v>
      </c>
      <c r="W69" s="45">
        <v>2525</v>
      </c>
      <c r="X69" s="45" t="s">
        <v>56</v>
      </c>
      <c r="Y69" s="45" t="s">
        <v>42</v>
      </c>
      <c r="Z69" s="1">
        <f t="shared" si="24"/>
        <v>-23.5</v>
      </c>
      <c r="AA69" s="1">
        <f t="shared" si="25"/>
        <v>12.99038105676658</v>
      </c>
    </row>
    <row r="70" spans="1:27" s="49" customFormat="1" ht="16.5" customHeight="1" thickBot="1" x14ac:dyDescent="0.25">
      <c r="A70" s="98">
        <v>68</v>
      </c>
      <c r="B70" s="102" t="s">
        <v>35</v>
      </c>
      <c r="C70" s="103" t="s">
        <v>36</v>
      </c>
      <c r="D70" s="103" t="s">
        <v>37</v>
      </c>
      <c r="E70" s="103" t="s">
        <v>38</v>
      </c>
      <c r="F70" s="103" t="s">
        <v>81</v>
      </c>
      <c r="G70" s="99" t="s">
        <v>87</v>
      </c>
      <c r="H70" s="115" t="s">
        <v>23</v>
      </c>
      <c r="I70" s="121" t="s">
        <v>573</v>
      </c>
      <c r="J70" s="122">
        <v>2012</v>
      </c>
      <c r="K70" s="116" t="s">
        <v>25</v>
      </c>
      <c r="L70" s="103">
        <v>3</v>
      </c>
      <c r="M70" s="103">
        <v>5</v>
      </c>
      <c r="N70" s="117">
        <v>1000</v>
      </c>
      <c r="O70" s="118">
        <f t="shared" si="26"/>
        <v>6.3333333333333712</v>
      </c>
      <c r="P70" s="117">
        <v>779</v>
      </c>
      <c r="Q70" s="117">
        <v>764</v>
      </c>
      <c r="R70" s="117">
        <v>775</v>
      </c>
      <c r="S70" s="120">
        <f t="shared" ref="S70:S84" si="27">1.44*N70</f>
        <v>1440</v>
      </c>
      <c r="T70" s="118">
        <f t="shared" ref="T70:T78" si="28">(R70+Q70+P70)/3</f>
        <v>772.66666666666663</v>
      </c>
      <c r="U70" s="100">
        <f t="shared" si="23"/>
        <v>54</v>
      </c>
      <c r="V70" s="104">
        <v>380</v>
      </c>
      <c r="W70" s="104">
        <v>2525</v>
      </c>
      <c r="X70" s="104" t="s">
        <v>56</v>
      </c>
      <c r="Y70" s="104" t="s">
        <v>42</v>
      </c>
      <c r="Z70" s="1">
        <f t="shared" si="24"/>
        <v>-13</v>
      </c>
      <c r="AA70" s="1">
        <f t="shared" si="25"/>
        <v>-3.4641016151376789</v>
      </c>
    </row>
    <row r="71" spans="1:27" s="49" customFormat="1" ht="16.5" customHeight="1" thickBot="1" x14ac:dyDescent="0.3">
      <c r="A71" s="98">
        <v>69</v>
      </c>
      <c r="B71" s="102" t="s">
        <v>35</v>
      </c>
      <c r="C71" s="103" t="s">
        <v>36</v>
      </c>
      <c r="D71" s="103" t="s">
        <v>37</v>
      </c>
      <c r="E71" s="103" t="s">
        <v>38</v>
      </c>
      <c r="F71" s="103" t="s">
        <v>81</v>
      </c>
      <c r="G71" s="99" t="s">
        <v>88</v>
      </c>
      <c r="H71" s="115" t="s">
        <v>23</v>
      </c>
      <c r="I71" s="121" t="s">
        <v>594</v>
      </c>
      <c r="J71" s="122">
        <v>1985</v>
      </c>
      <c r="K71" s="116" t="s">
        <v>25</v>
      </c>
      <c r="L71" s="103">
        <v>3</v>
      </c>
      <c r="M71" s="103">
        <v>3</v>
      </c>
      <c r="N71" s="117">
        <v>500</v>
      </c>
      <c r="O71" s="118">
        <f t="shared" si="26"/>
        <v>5.3333333333333428</v>
      </c>
      <c r="P71" s="119">
        <v>259</v>
      </c>
      <c r="Q71" s="119">
        <v>257</v>
      </c>
      <c r="R71" s="119">
        <v>245</v>
      </c>
      <c r="S71" s="120">
        <f t="shared" si="27"/>
        <v>720</v>
      </c>
      <c r="T71" s="118">
        <f t="shared" si="28"/>
        <v>253.66666666666666</v>
      </c>
      <c r="U71" s="100">
        <f t="shared" si="23"/>
        <v>35</v>
      </c>
      <c r="V71" s="104">
        <v>381</v>
      </c>
      <c r="W71" s="104">
        <v>2525</v>
      </c>
      <c r="X71" s="104" t="s">
        <v>56</v>
      </c>
      <c r="Y71" s="104" t="s">
        <v>42</v>
      </c>
      <c r="Z71" s="1">
        <f t="shared" si="24"/>
        <v>5</v>
      </c>
      <c r="AA71" s="1">
        <f t="shared" si="25"/>
        <v>-12.124355652982132</v>
      </c>
    </row>
    <row r="72" spans="1:27" s="49" customFormat="1" ht="16.5" customHeight="1" thickBot="1" x14ac:dyDescent="0.25">
      <c r="A72" s="98">
        <v>70</v>
      </c>
      <c r="B72" s="102" t="s">
        <v>35</v>
      </c>
      <c r="C72" s="103" t="s">
        <v>36</v>
      </c>
      <c r="D72" s="103" t="s">
        <v>37</v>
      </c>
      <c r="E72" s="103" t="s">
        <v>38</v>
      </c>
      <c r="F72" s="103" t="s">
        <v>81</v>
      </c>
      <c r="G72" s="99" t="s">
        <v>89</v>
      </c>
      <c r="H72" s="115" t="s">
        <v>23</v>
      </c>
      <c r="I72" s="129" t="s">
        <v>593</v>
      </c>
      <c r="J72" s="108">
        <v>2017</v>
      </c>
      <c r="K72" s="116" t="s">
        <v>28</v>
      </c>
      <c r="L72" s="103">
        <v>3</v>
      </c>
      <c r="M72" s="103"/>
      <c r="N72" s="117">
        <v>800</v>
      </c>
      <c r="O72" s="118">
        <f t="shared" si="26"/>
        <v>5</v>
      </c>
      <c r="P72" s="117">
        <v>361</v>
      </c>
      <c r="Q72" s="117">
        <v>354</v>
      </c>
      <c r="R72" s="117">
        <v>365</v>
      </c>
      <c r="S72" s="120">
        <f t="shared" si="27"/>
        <v>1152</v>
      </c>
      <c r="T72" s="118">
        <f t="shared" si="28"/>
        <v>360</v>
      </c>
      <c r="U72" s="100">
        <f t="shared" si="23"/>
        <v>31</v>
      </c>
      <c r="V72" s="104">
        <v>381</v>
      </c>
      <c r="W72" s="104">
        <v>2525</v>
      </c>
      <c r="X72" s="104" t="s">
        <v>56</v>
      </c>
      <c r="Y72" s="104" t="s">
        <v>42</v>
      </c>
      <c r="Z72" s="1">
        <f t="shared" si="24"/>
        <v>-9</v>
      </c>
      <c r="AA72" s="1">
        <f t="shared" si="25"/>
        <v>3.4641016151377357</v>
      </c>
    </row>
    <row r="73" spans="1:27" s="49" customFormat="1" ht="16.5" customHeight="1" thickBot="1" x14ac:dyDescent="0.25">
      <c r="A73" s="98">
        <v>71</v>
      </c>
      <c r="B73" s="102" t="s">
        <v>35</v>
      </c>
      <c r="C73" s="103" t="s">
        <v>36</v>
      </c>
      <c r="D73" s="103" t="s">
        <v>37</v>
      </c>
      <c r="E73" s="103" t="s">
        <v>38</v>
      </c>
      <c r="F73" s="103" t="s">
        <v>81</v>
      </c>
      <c r="G73" s="99" t="s">
        <v>90</v>
      </c>
      <c r="H73" s="115" t="s">
        <v>23</v>
      </c>
      <c r="I73" s="107"/>
      <c r="J73" s="108"/>
      <c r="K73" s="116" t="s">
        <v>28</v>
      </c>
      <c r="L73" s="103">
        <v>3</v>
      </c>
      <c r="M73" s="103"/>
      <c r="N73" s="117">
        <v>1000</v>
      </c>
      <c r="O73" s="118">
        <f t="shared" si="26"/>
        <v>4.6666666666666856</v>
      </c>
      <c r="P73" s="117">
        <v>448</v>
      </c>
      <c r="Q73" s="117">
        <v>440</v>
      </c>
      <c r="R73" s="117">
        <v>451</v>
      </c>
      <c r="S73" s="120">
        <f t="shared" si="27"/>
        <v>1440</v>
      </c>
      <c r="T73" s="118">
        <f t="shared" si="28"/>
        <v>446.33333333333331</v>
      </c>
      <c r="U73" s="100">
        <f t="shared" si="23"/>
        <v>31</v>
      </c>
      <c r="V73" s="104">
        <v>382</v>
      </c>
      <c r="W73" s="104">
        <v>2525</v>
      </c>
      <c r="X73" s="104" t="s">
        <v>56</v>
      </c>
      <c r="Y73" s="104" t="s">
        <v>42</v>
      </c>
      <c r="Z73" s="1">
        <f t="shared" si="24"/>
        <v>-9.5</v>
      </c>
      <c r="AA73" s="1">
        <f t="shared" si="25"/>
        <v>2.598076211353316</v>
      </c>
    </row>
    <row r="74" spans="1:27" s="49" customFormat="1" ht="16.5" customHeight="1" thickBot="1" x14ac:dyDescent="0.25">
      <c r="A74" s="84">
        <v>72</v>
      </c>
      <c r="B74" s="52" t="s">
        <v>35</v>
      </c>
      <c r="C74" s="41" t="s">
        <v>36</v>
      </c>
      <c r="D74" s="41" t="s">
        <v>37</v>
      </c>
      <c r="E74" s="41" t="s">
        <v>38</v>
      </c>
      <c r="F74" s="41" t="s">
        <v>81</v>
      </c>
      <c r="G74" s="42" t="s">
        <v>418</v>
      </c>
      <c r="H74" s="46" t="s">
        <v>26</v>
      </c>
      <c r="I74" s="65"/>
      <c r="J74" s="73"/>
      <c r="K74" s="66" t="s">
        <v>25</v>
      </c>
      <c r="L74" s="41">
        <v>3</v>
      </c>
      <c r="M74" s="41"/>
      <c r="N74" s="47">
        <v>100</v>
      </c>
      <c r="O74" s="43">
        <f t="shared" si="26"/>
        <v>4.3333333333333357</v>
      </c>
      <c r="P74" s="47">
        <v>60</v>
      </c>
      <c r="Q74" s="47">
        <v>55</v>
      </c>
      <c r="R74" s="47">
        <v>52</v>
      </c>
      <c r="S74" s="48">
        <f t="shared" si="27"/>
        <v>144</v>
      </c>
      <c r="T74" s="43">
        <f t="shared" si="28"/>
        <v>55.666666666666664</v>
      </c>
      <c r="U74" s="44">
        <f t="shared" si="23"/>
        <v>39</v>
      </c>
      <c r="V74" s="45">
        <v>382</v>
      </c>
      <c r="W74" s="45">
        <v>2525</v>
      </c>
      <c r="X74" s="45" t="s">
        <v>56</v>
      </c>
      <c r="Y74" s="45" t="s">
        <v>42</v>
      </c>
      <c r="Z74" s="1">
        <f t="shared" si="24"/>
        <v>-1</v>
      </c>
      <c r="AA74" s="1">
        <f t="shared" si="25"/>
        <v>-6.928203230275507</v>
      </c>
    </row>
    <row r="75" spans="1:27" s="49" customFormat="1" ht="16.5" customHeight="1" thickBot="1" x14ac:dyDescent="0.25">
      <c r="A75" s="84">
        <v>73</v>
      </c>
      <c r="B75" s="52" t="s">
        <v>35</v>
      </c>
      <c r="C75" s="41" t="s">
        <v>36</v>
      </c>
      <c r="D75" s="41" t="s">
        <v>37</v>
      </c>
      <c r="E75" s="41" t="s">
        <v>38</v>
      </c>
      <c r="F75" s="41" t="s">
        <v>81</v>
      </c>
      <c r="G75" s="42" t="s">
        <v>419</v>
      </c>
      <c r="H75" s="46" t="s">
        <v>26</v>
      </c>
      <c r="I75" s="64"/>
      <c r="J75" s="72"/>
      <c r="K75" s="66" t="s">
        <v>28</v>
      </c>
      <c r="L75" s="41">
        <v>3</v>
      </c>
      <c r="M75" s="41"/>
      <c r="N75" s="47">
        <v>1000</v>
      </c>
      <c r="O75" s="43">
        <f t="shared" si="26"/>
        <v>16</v>
      </c>
      <c r="P75" s="47">
        <v>620</v>
      </c>
      <c r="Q75" s="47">
        <v>632</v>
      </c>
      <c r="R75" s="47">
        <v>650</v>
      </c>
      <c r="S75" s="48">
        <f t="shared" si="27"/>
        <v>1440</v>
      </c>
      <c r="T75" s="43">
        <f t="shared" si="28"/>
        <v>634</v>
      </c>
      <c r="U75" s="44">
        <f t="shared" si="23"/>
        <v>44</v>
      </c>
      <c r="V75" s="45">
        <v>382</v>
      </c>
      <c r="W75" s="45">
        <v>2525</v>
      </c>
      <c r="X75" s="45" t="s">
        <v>56</v>
      </c>
      <c r="Y75" s="45" t="s">
        <v>42</v>
      </c>
      <c r="Z75" s="1">
        <f t="shared" si="24"/>
        <v>-3</v>
      </c>
      <c r="AA75" s="1">
        <f t="shared" si="25"/>
        <v>25.98076211353316</v>
      </c>
    </row>
    <row r="76" spans="1:27" s="49" customFormat="1" ht="16.5" customHeight="1" thickBot="1" x14ac:dyDescent="0.25">
      <c r="A76" s="84">
        <v>74</v>
      </c>
      <c r="B76" s="52" t="s">
        <v>35</v>
      </c>
      <c r="C76" s="41" t="s">
        <v>36</v>
      </c>
      <c r="D76" s="41" t="s">
        <v>37</v>
      </c>
      <c r="E76" s="41" t="s">
        <v>38</v>
      </c>
      <c r="F76" s="41" t="s">
        <v>81</v>
      </c>
      <c r="G76" s="42" t="s">
        <v>420</v>
      </c>
      <c r="H76" s="46" t="s">
        <v>26</v>
      </c>
      <c r="I76" s="64"/>
      <c r="J76" s="72"/>
      <c r="K76" s="66" t="s">
        <v>28</v>
      </c>
      <c r="L76" s="41">
        <v>3</v>
      </c>
      <c r="M76" s="41"/>
      <c r="N76" s="47">
        <v>1000</v>
      </c>
      <c r="O76" s="43">
        <f t="shared" si="26"/>
        <v>6.6666666666666288</v>
      </c>
      <c r="P76" s="47">
        <v>625</v>
      </c>
      <c r="Q76" s="47">
        <v>615</v>
      </c>
      <c r="R76" s="47">
        <v>630</v>
      </c>
      <c r="S76" s="48">
        <f t="shared" si="27"/>
        <v>1440</v>
      </c>
      <c r="T76" s="43">
        <f t="shared" si="28"/>
        <v>623.33333333333337</v>
      </c>
      <c r="U76" s="44">
        <f t="shared" si="23"/>
        <v>43</v>
      </c>
      <c r="V76" s="45">
        <v>382</v>
      </c>
      <c r="W76" s="45">
        <v>2525</v>
      </c>
      <c r="X76" s="45" t="s">
        <v>56</v>
      </c>
      <c r="Y76" s="45" t="s">
        <v>42</v>
      </c>
      <c r="Z76" s="1">
        <f t="shared" si="24"/>
        <v>-12.5</v>
      </c>
      <c r="AA76" s="1">
        <f t="shared" si="25"/>
        <v>4.3301270189222123</v>
      </c>
    </row>
    <row r="77" spans="1:27" s="49" customFormat="1" ht="16.5" customHeight="1" thickBot="1" x14ac:dyDescent="0.25">
      <c r="A77" s="84">
        <v>75</v>
      </c>
      <c r="B77" s="52" t="s">
        <v>35</v>
      </c>
      <c r="C77" s="41" t="s">
        <v>36</v>
      </c>
      <c r="D77" s="41" t="s">
        <v>37</v>
      </c>
      <c r="E77" s="41" t="s">
        <v>38</v>
      </c>
      <c r="F77" s="41" t="s">
        <v>81</v>
      </c>
      <c r="G77" s="42" t="s">
        <v>421</v>
      </c>
      <c r="H77" s="46" t="s">
        <v>26</v>
      </c>
      <c r="I77" s="64"/>
      <c r="J77" s="72"/>
      <c r="K77" s="66" t="s">
        <v>28</v>
      </c>
      <c r="L77" s="41">
        <v>3</v>
      </c>
      <c r="M77" s="41"/>
      <c r="N77" s="47">
        <v>300</v>
      </c>
      <c r="O77" s="43">
        <f t="shared" si="26"/>
        <v>9</v>
      </c>
      <c r="P77" s="47">
        <v>195</v>
      </c>
      <c r="Q77" s="47">
        <v>207</v>
      </c>
      <c r="R77" s="47">
        <v>192</v>
      </c>
      <c r="S77" s="48">
        <f t="shared" si="27"/>
        <v>432</v>
      </c>
      <c r="T77" s="43">
        <f t="shared" si="28"/>
        <v>198</v>
      </c>
      <c r="U77" s="44">
        <f t="shared" si="23"/>
        <v>46</v>
      </c>
      <c r="V77" s="45">
        <v>381</v>
      </c>
      <c r="W77" s="45">
        <v>2525</v>
      </c>
      <c r="X77" s="45" t="s">
        <v>56</v>
      </c>
      <c r="Y77" s="45" t="s">
        <v>42</v>
      </c>
      <c r="Z77" s="1">
        <f t="shared" si="24"/>
        <v>13.5</v>
      </c>
      <c r="AA77" s="1">
        <f t="shared" si="25"/>
        <v>-2.5980762113532876</v>
      </c>
    </row>
    <row r="78" spans="1:27" s="49" customFormat="1" ht="16.5" customHeight="1" thickBot="1" x14ac:dyDescent="0.25">
      <c r="A78" s="84">
        <v>76</v>
      </c>
      <c r="B78" s="52" t="s">
        <v>35</v>
      </c>
      <c r="C78" s="41" t="s">
        <v>36</v>
      </c>
      <c r="D78" s="41" t="s">
        <v>37</v>
      </c>
      <c r="E78" s="41" t="s">
        <v>38</v>
      </c>
      <c r="F78" s="41" t="s">
        <v>81</v>
      </c>
      <c r="G78" s="42" t="s">
        <v>422</v>
      </c>
      <c r="H78" s="46" t="s">
        <v>26</v>
      </c>
      <c r="I78" s="63"/>
      <c r="J78" s="71"/>
      <c r="K78" s="66" t="s">
        <v>25</v>
      </c>
      <c r="L78" s="41">
        <v>3</v>
      </c>
      <c r="M78" s="41"/>
      <c r="N78" s="47">
        <v>300</v>
      </c>
      <c r="O78" s="43">
        <f t="shared" si="26"/>
        <v>4.6666666666666572</v>
      </c>
      <c r="P78" s="47">
        <v>185</v>
      </c>
      <c r="Q78" s="47">
        <v>177</v>
      </c>
      <c r="R78" s="47">
        <v>188</v>
      </c>
      <c r="S78" s="48">
        <f t="shared" si="27"/>
        <v>432</v>
      </c>
      <c r="T78" s="43">
        <f t="shared" si="28"/>
        <v>183.33333333333334</v>
      </c>
      <c r="U78" s="44">
        <f t="shared" si="23"/>
        <v>42</v>
      </c>
      <c r="V78" s="45">
        <v>380</v>
      </c>
      <c r="W78" s="45">
        <v>2525</v>
      </c>
      <c r="X78" s="45" t="s">
        <v>56</v>
      </c>
      <c r="Y78" s="45" t="s">
        <v>42</v>
      </c>
      <c r="Z78" s="1">
        <f t="shared" si="24"/>
        <v>-9.5</v>
      </c>
      <c r="AA78" s="1">
        <f t="shared" si="25"/>
        <v>2.598076211353316</v>
      </c>
    </row>
    <row r="79" spans="1:27" s="49" customFormat="1" ht="16.5" customHeight="1" thickBot="1" x14ac:dyDescent="0.25">
      <c r="A79" s="84">
        <v>77</v>
      </c>
      <c r="B79" s="52" t="s">
        <v>35</v>
      </c>
      <c r="C79" s="41" t="s">
        <v>36</v>
      </c>
      <c r="D79" s="41" t="s">
        <v>37</v>
      </c>
      <c r="E79" s="41" t="s">
        <v>38</v>
      </c>
      <c r="F79" s="41" t="s">
        <v>85</v>
      </c>
      <c r="G79" s="42" t="s">
        <v>85</v>
      </c>
      <c r="H79" s="46" t="s">
        <v>23</v>
      </c>
      <c r="I79" s="63"/>
      <c r="J79" s="71"/>
      <c r="K79" s="66" t="s">
        <v>25</v>
      </c>
      <c r="L79" s="41">
        <v>3</v>
      </c>
      <c r="M79" s="41">
        <v>2</v>
      </c>
      <c r="N79" s="47">
        <v>100</v>
      </c>
      <c r="O79" s="43">
        <f t="shared" si="26"/>
        <v>5.6666666666666643</v>
      </c>
      <c r="P79" s="47">
        <v>49</v>
      </c>
      <c r="Q79" s="47">
        <v>52</v>
      </c>
      <c r="R79" s="47">
        <v>59</v>
      </c>
      <c r="S79" s="48">
        <f t="shared" si="27"/>
        <v>144</v>
      </c>
      <c r="T79" s="43">
        <f>(R79+Q79+P79)/3</f>
        <v>53.333333333333336</v>
      </c>
      <c r="U79" s="44">
        <f t="shared" si="23"/>
        <v>37</v>
      </c>
      <c r="V79" s="45">
        <v>382</v>
      </c>
      <c r="W79" s="45">
        <v>2525</v>
      </c>
      <c r="X79" s="45" t="s">
        <v>56</v>
      </c>
      <c r="Y79" s="45" t="s">
        <v>42</v>
      </c>
      <c r="Z79" s="1"/>
      <c r="AA79" s="1"/>
    </row>
    <row r="80" spans="1:27" s="49" customFormat="1" ht="16.5" customHeight="1" thickBot="1" x14ac:dyDescent="0.25">
      <c r="A80" s="84">
        <v>78</v>
      </c>
      <c r="B80" s="52" t="s">
        <v>35</v>
      </c>
      <c r="C80" s="41" t="s">
        <v>36</v>
      </c>
      <c r="D80" s="41" t="s">
        <v>37</v>
      </c>
      <c r="E80" s="41" t="s">
        <v>38</v>
      </c>
      <c r="F80" s="41" t="s">
        <v>85</v>
      </c>
      <c r="G80" s="42" t="s">
        <v>582</v>
      </c>
      <c r="H80" s="46" t="s">
        <v>26</v>
      </c>
      <c r="I80" s="63"/>
      <c r="J80" s="71"/>
      <c r="K80" s="66" t="s">
        <v>25</v>
      </c>
      <c r="L80" s="41">
        <v>3</v>
      </c>
      <c r="M80" s="41"/>
      <c r="N80" s="47">
        <v>300</v>
      </c>
      <c r="O80" s="43">
        <f t="shared" si="26"/>
        <v>8.3333333333333428</v>
      </c>
      <c r="P80" s="47">
        <v>174</v>
      </c>
      <c r="Q80" s="47">
        <v>185</v>
      </c>
      <c r="R80" s="47">
        <v>192</v>
      </c>
      <c r="S80" s="48">
        <f t="shared" si="27"/>
        <v>432</v>
      </c>
      <c r="T80" s="43">
        <f t="shared" ref="T80:T81" si="29">(R80+Q80+P80)/3</f>
        <v>183.66666666666666</v>
      </c>
      <c r="U80" s="44">
        <f t="shared" si="23"/>
        <v>43</v>
      </c>
      <c r="V80" s="45">
        <v>382</v>
      </c>
      <c r="W80" s="45">
        <v>2525</v>
      </c>
      <c r="X80" s="45" t="s">
        <v>56</v>
      </c>
      <c r="Y80" s="45" t="s">
        <v>42</v>
      </c>
      <c r="Z80" s="1"/>
      <c r="AA80" s="1"/>
    </row>
    <row r="81" spans="1:62" s="49" customFormat="1" ht="17.25" customHeight="1" thickBot="1" x14ac:dyDescent="0.25">
      <c r="A81" s="84">
        <v>79</v>
      </c>
      <c r="B81" s="52" t="s">
        <v>35</v>
      </c>
      <c r="C81" s="41" t="s">
        <v>36</v>
      </c>
      <c r="D81" s="41" t="s">
        <v>37</v>
      </c>
      <c r="E81" s="41" t="s">
        <v>38</v>
      </c>
      <c r="F81" s="41" t="s">
        <v>85</v>
      </c>
      <c r="G81" s="42" t="s">
        <v>413</v>
      </c>
      <c r="H81" s="46" t="s">
        <v>26</v>
      </c>
      <c r="I81" s="74" t="s">
        <v>593</v>
      </c>
      <c r="J81" s="70">
        <v>2021</v>
      </c>
      <c r="K81" s="66" t="s">
        <v>28</v>
      </c>
      <c r="L81" s="41">
        <v>3</v>
      </c>
      <c r="M81" s="41"/>
      <c r="N81" s="47">
        <v>1000</v>
      </c>
      <c r="O81" s="43">
        <f t="shared" si="26"/>
        <v>9</v>
      </c>
      <c r="P81" s="47">
        <v>627</v>
      </c>
      <c r="Q81" s="47">
        <v>610</v>
      </c>
      <c r="R81" s="47">
        <v>617</v>
      </c>
      <c r="S81" s="48">
        <f t="shared" si="27"/>
        <v>1440</v>
      </c>
      <c r="T81" s="43">
        <f t="shared" si="29"/>
        <v>618</v>
      </c>
      <c r="U81" s="44">
        <f t="shared" si="23"/>
        <v>43</v>
      </c>
      <c r="V81" s="45">
        <v>382</v>
      </c>
      <c r="W81" s="45">
        <v>2525</v>
      </c>
      <c r="X81" s="45" t="s">
        <v>56</v>
      </c>
      <c r="Y81" s="45" t="s">
        <v>42</v>
      </c>
      <c r="Z81" s="1"/>
      <c r="AA81" s="1"/>
    </row>
    <row r="82" spans="1:62" s="49" customFormat="1" ht="16.5" customHeight="1" thickBot="1" x14ac:dyDescent="0.25">
      <c r="A82" s="84">
        <v>80</v>
      </c>
      <c r="B82" s="52" t="s">
        <v>35</v>
      </c>
      <c r="C82" s="41" t="s">
        <v>36</v>
      </c>
      <c r="D82" s="41" t="s">
        <v>37</v>
      </c>
      <c r="E82" s="41" t="s">
        <v>38</v>
      </c>
      <c r="F82" s="41" t="s">
        <v>85</v>
      </c>
      <c r="G82" s="42" t="s">
        <v>580</v>
      </c>
      <c r="H82" s="46" t="s">
        <v>26</v>
      </c>
      <c r="I82" s="63"/>
      <c r="J82" s="71"/>
      <c r="K82" s="66" t="s">
        <v>25</v>
      </c>
      <c r="L82" s="41">
        <v>3</v>
      </c>
      <c r="M82" s="41"/>
      <c r="N82" s="47">
        <v>1000</v>
      </c>
      <c r="O82" s="81"/>
      <c r="P82" s="81"/>
      <c r="Q82" s="81"/>
      <c r="R82" s="81"/>
      <c r="S82" s="48">
        <f t="shared" si="27"/>
        <v>1440</v>
      </c>
      <c r="T82" s="43"/>
      <c r="U82" s="44" t="e">
        <f t="shared" si="23"/>
        <v>#DIV/0!</v>
      </c>
      <c r="V82" s="45">
        <v>382</v>
      </c>
      <c r="W82" s="45">
        <v>2525</v>
      </c>
      <c r="X82" s="45" t="s">
        <v>56</v>
      </c>
      <c r="Y82" s="45" t="s">
        <v>42</v>
      </c>
      <c r="Z82" s="1"/>
      <c r="AA82" s="1"/>
    </row>
    <row r="83" spans="1:62" s="49" customFormat="1" ht="16.5" customHeight="1" thickBot="1" x14ac:dyDescent="0.25">
      <c r="A83" s="84">
        <v>81</v>
      </c>
      <c r="B83" s="52" t="s">
        <v>35</v>
      </c>
      <c r="C83" s="41" t="s">
        <v>36</v>
      </c>
      <c r="D83" s="41" t="s">
        <v>37</v>
      </c>
      <c r="E83" s="41" t="s">
        <v>38</v>
      </c>
      <c r="F83" s="41" t="s">
        <v>91</v>
      </c>
      <c r="G83" s="42" t="s">
        <v>423</v>
      </c>
      <c r="H83" s="46" t="s">
        <v>26</v>
      </c>
      <c r="I83" s="64"/>
      <c r="J83" s="72"/>
      <c r="K83" s="66" t="s">
        <v>28</v>
      </c>
      <c r="L83" s="41">
        <v>3</v>
      </c>
      <c r="M83" s="41"/>
      <c r="N83" s="47">
        <v>750</v>
      </c>
      <c r="O83" s="43">
        <f>MAX(P83:R83)-AVERAGE(P83:R83)</f>
        <v>13.333333333333314</v>
      </c>
      <c r="P83" s="47">
        <v>491</v>
      </c>
      <c r="Q83" s="47">
        <v>485</v>
      </c>
      <c r="R83" s="47">
        <v>508</v>
      </c>
      <c r="S83" s="48">
        <f t="shared" si="27"/>
        <v>1080</v>
      </c>
      <c r="T83" s="43">
        <f>(P83+Q83+R83)/3</f>
        <v>494.66666666666669</v>
      </c>
      <c r="U83" s="44">
        <f t="shared" si="23"/>
        <v>46</v>
      </c>
      <c r="V83" s="45">
        <v>382</v>
      </c>
      <c r="W83" s="45">
        <v>2525</v>
      </c>
      <c r="X83" s="45" t="s">
        <v>56</v>
      </c>
      <c r="Y83" s="45" t="s">
        <v>42</v>
      </c>
      <c r="Z83" s="1">
        <f t="shared" si="24"/>
        <v>-14.5</v>
      </c>
      <c r="AA83" s="1">
        <f t="shared" si="25"/>
        <v>14.722431864335476</v>
      </c>
    </row>
    <row r="84" spans="1:62" s="49" customFormat="1" ht="16.5" customHeight="1" thickBot="1" x14ac:dyDescent="0.25">
      <c r="A84" s="84">
        <v>82</v>
      </c>
      <c r="B84" s="52" t="s">
        <v>35</v>
      </c>
      <c r="C84" s="41" t="s">
        <v>36</v>
      </c>
      <c r="D84" s="41" t="s">
        <v>37</v>
      </c>
      <c r="E84" s="41" t="s">
        <v>38</v>
      </c>
      <c r="F84" s="41" t="s">
        <v>91</v>
      </c>
      <c r="G84" s="42" t="s">
        <v>424</v>
      </c>
      <c r="H84" s="46" t="s">
        <v>26</v>
      </c>
      <c r="I84" s="64"/>
      <c r="J84" s="72"/>
      <c r="K84" s="66" t="s">
        <v>28</v>
      </c>
      <c r="L84" s="41">
        <v>3</v>
      </c>
      <c r="M84" s="41"/>
      <c r="N84" s="47">
        <v>750</v>
      </c>
      <c r="O84" s="43">
        <f t="shared" ref="O84:O130" si="30">MAX(P84:R84)-AVERAGE(P84:R84)</f>
        <v>14.333333333333314</v>
      </c>
      <c r="P84" s="47">
        <v>457</v>
      </c>
      <c r="Q84" s="47">
        <v>466</v>
      </c>
      <c r="R84" s="47">
        <v>483</v>
      </c>
      <c r="S84" s="48">
        <f t="shared" si="27"/>
        <v>1080</v>
      </c>
      <c r="T84" s="43">
        <f>(P84+Q84+R84)/3</f>
        <v>468.66666666666669</v>
      </c>
      <c r="U84" s="44">
        <f t="shared" si="23"/>
        <v>43</v>
      </c>
      <c r="V84" s="45">
        <v>382</v>
      </c>
      <c r="W84" s="45">
        <v>2525</v>
      </c>
      <c r="X84" s="45" t="s">
        <v>56</v>
      </c>
      <c r="Y84" s="45" t="s">
        <v>42</v>
      </c>
      <c r="Z84" s="1">
        <f t="shared" si="24"/>
        <v>-4</v>
      </c>
      <c r="AA84" s="1">
        <f t="shared" si="25"/>
        <v>22.516660498395368</v>
      </c>
    </row>
    <row r="85" spans="1:62" s="49" customFormat="1" ht="16.5" customHeight="1" thickBot="1" x14ac:dyDescent="0.3">
      <c r="A85" s="98">
        <v>83</v>
      </c>
      <c r="B85" s="102" t="s">
        <v>35</v>
      </c>
      <c r="C85" s="103" t="s">
        <v>36</v>
      </c>
      <c r="D85" s="103" t="s">
        <v>37</v>
      </c>
      <c r="E85" s="103" t="s">
        <v>38</v>
      </c>
      <c r="F85" s="103" t="s">
        <v>91</v>
      </c>
      <c r="G85" s="99" t="s">
        <v>91</v>
      </c>
      <c r="H85" s="115" t="s">
        <v>23</v>
      </c>
      <c r="I85" s="121"/>
      <c r="J85" s="122"/>
      <c r="K85" s="116" t="s">
        <v>25</v>
      </c>
      <c r="L85" s="103">
        <v>3</v>
      </c>
      <c r="M85" s="103">
        <v>5</v>
      </c>
      <c r="N85" s="117">
        <v>800</v>
      </c>
      <c r="O85" s="118">
        <f t="shared" si="30"/>
        <v>6</v>
      </c>
      <c r="P85" s="117">
        <v>437</v>
      </c>
      <c r="Q85" s="117">
        <v>431</v>
      </c>
      <c r="R85" s="117">
        <v>425</v>
      </c>
      <c r="S85" s="120">
        <f t="shared" ref="S85:S94" si="31">1.44*N85</f>
        <v>1152</v>
      </c>
      <c r="T85" s="118">
        <f>(P85+Q85+R85)/3</f>
        <v>431</v>
      </c>
      <c r="U85" s="100">
        <f t="shared" si="23"/>
        <v>37</v>
      </c>
      <c r="V85" s="104">
        <v>381</v>
      </c>
      <c r="W85" s="104">
        <v>2525</v>
      </c>
      <c r="X85" s="104" t="s">
        <v>56</v>
      </c>
      <c r="Y85" s="104" t="s">
        <v>42</v>
      </c>
      <c r="Z85" s="1">
        <f t="shared" si="24"/>
        <v>0</v>
      </c>
      <c r="AA85" s="1">
        <f t="shared" si="25"/>
        <v>-10.392304845413264</v>
      </c>
      <c r="AB85" s="50"/>
      <c r="AC85" s="50"/>
      <c r="AD85" s="50"/>
      <c r="AE85" s="50"/>
    </row>
    <row r="86" spans="1:62" s="49" customFormat="1" ht="16.5" customHeight="1" thickBot="1" x14ac:dyDescent="0.3">
      <c r="A86" s="84">
        <v>84</v>
      </c>
      <c r="B86" s="52" t="s">
        <v>35</v>
      </c>
      <c r="C86" s="41" t="s">
        <v>36</v>
      </c>
      <c r="D86" s="41" t="s">
        <v>37</v>
      </c>
      <c r="E86" s="41" t="s">
        <v>38</v>
      </c>
      <c r="F86" s="41" t="s">
        <v>91</v>
      </c>
      <c r="G86" s="42" t="s">
        <v>92</v>
      </c>
      <c r="H86" s="46" t="s">
        <v>23</v>
      </c>
      <c r="I86" s="63" t="s">
        <v>573</v>
      </c>
      <c r="J86" s="71">
        <v>2013</v>
      </c>
      <c r="K86" s="66" t="s">
        <v>25</v>
      </c>
      <c r="L86" s="41">
        <v>3</v>
      </c>
      <c r="M86" s="41">
        <v>6</v>
      </c>
      <c r="N86" s="47">
        <v>1000</v>
      </c>
      <c r="O86" s="43">
        <f t="shared" si="30"/>
        <v>8.3333333333333712</v>
      </c>
      <c r="P86" s="47">
        <v>976</v>
      </c>
      <c r="Q86" s="47">
        <v>988</v>
      </c>
      <c r="R86" s="47">
        <v>975</v>
      </c>
      <c r="S86" s="48">
        <f t="shared" si="31"/>
        <v>1440</v>
      </c>
      <c r="T86" s="43">
        <f t="shared" ref="T86:T94" si="32">(R86+Q86+P86)/3</f>
        <v>979.66666666666663</v>
      </c>
      <c r="U86" s="44">
        <f t="shared" si="23"/>
        <v>68</v>
      </c>
      <c r="V86" s="45">
        <v>381</v>
      </c>
      <c r="W86" s="45">
        <v>2525</v>
      </c>
      <c r="X86" s="45" t="s">
        <v>56</v>
      </c>
      <c r="Y86" s="45" t="s">
        <v>42</v>
      </c>
      <c r="Z86" s="1">
        <f t="shared" si="24"/>
        <v>12.5</v>
      </c>
      <c r="AA86" s="1">
        <f t="shared" si="25"/>
        <v>-0.86602540378441972</v>
      </c>
      <c r="AB86" s="50"/>
      <c r="AC86" s="50"/>
      <c r="AD86" s="50"/>
      <c r="AE86" s="50"/>
    </row>
    <row r="87" spans="1:62" s="49" customFormat="1" ht="16.5" customHeight="1" thickBot="1" x14ac:dyDescent="0.3">
      <c r="A87" s="98">
        <v>85</v>
      </c>
      <c r="B87" s="102" t="s">
        <v>35</v>
      </c>
      <c r="C87" s="103" t="s">
        <v>36</v>
      </c>
      <c r="D87" s="103" t="s">
        <v>37</v>
      </c>
      <c r="E87" s="103" t="s">
        <v>38</v>
      </c>
      <c r="F87" s="103" t="s">
        <v>91</v>
      </c>
      <c r="G87" s="99" t="s">
        <v>93</v>
      </c>
      <c r="H87" s="115" t="s">
        <v>23</v>
      </c>
      <c r="I87" s="121"/>
      <c r="J87" s="122"/>
      <c r="K87" s="116" t="s">
        <v>25</v>
      </c>
      <c r="L87" s="103">
        <v>3</v>
      </c>
      <c r="M87" s="103">
        <v>4</v>
      </c>
      <c r="N87" s="117">
        <v>1000</v>
      </c>
      <c r="O87" s="118">
        <f t="shared" si="30"/>
        <v>4.3333333333333712</v>
      </c>
      <c r="P87" s="117">
        <v>530</v>
      </c>
      <c r="Q87" s="117">
        <v>529</v>
      </c>
      <c r="R87" s="117">
        <v>536</v>
      </c>
      <c r="S87" s="120">
        <f t="shared" si="31"/>
        <v>1440</v>
      </c>
      <c r="T87" s="118">
        <f t="shared" si="32"/>
        <v>531.66666666666663</v>
      </c>
      <c r="U87" s="100">
        <f t="shared" si="23"/>
        <v>37</v>
      </c>
      <c r="V87" s="104">
        <v>382</v>
      </c>
      <c r="W87" s="104">
        <v>2525</v>
      </c>
      <c r="X87" s="104" t="s">
        <v>56</v>
      </c>
      <c r="Y87" s="104" t="s">
        <v>42</v>
      </c>
      <c r="Z87" s="1">
        <f t="shared" si="24"/>
        <v>-4</v>
      </c>
      <c r="AA87" s="1">
        <f t="shared" si="25"/>
        <v>5.196152422706632</v>
      </c>
      <c r="AB87" s="50"/>
      <c r="AC87" s="50"/>
      <c r="AD87" s="50"/>
      <c r="AE87" s="50"/>
      <c r="BJ87" s="51"/>
    </row>
    <row r="88" spans="1:62" s="49" customFormat="1" ht="16.5" customHeight="1" thickBot="1" x14ac:dyDescent="0.3">
      <c r="A88" s="84">
        <v>86</v>
      </c>
      <c r="B88" s="52" t="s">
        <v>35</v>
      </c>
      <c r="C88" s="41" t="s">
        <v>36</v>
      </c>
      <c r="D88" s="41" t="s">
        <v>37</v>
      </c>
      <c r="E88" s="41" t="s">
        <v>38</v>
      </c>
      <c r="F88" s="41" t="s">
        <v>91</v>
      </c>
      <c r="G88" s="42" t="s">
        <v>94</v>
      </c>
      <c r="H88" s="46" t="s">
        <v>23</v>
      </c>
      <c r="I88" s="63" t="s">
        <v>595</v>
      </c>
      <c r="J88" s="71">
        <v>1982</v>
      </c>
      <c r="K88" s="66" t="s">
        <v>25</v>
      </c>
      <c r="L88" s="41">
        <v>3</v>
      </c>
      <c r="M88" s="41">
        <v>4</v>
      </c>
      <c r="N88" s="47">
        <v>500</v>
      </c>
      <c r="O88" s="43">
        <f t="shared" si="30"/>
        <v>5</v>
      </c>
      <c r="P88" s="47">
        <v>330</v>
      </c>
      <c r="Q88" s="47">
        <v>317</v>
      </c>
      <c r="R88" s="47">
        <v>328</v>
      </c>
      <c r="S88" s="48">
        <f t="shared" si="31"/>
        <v>720</v>
      </c>
      <c r="T88" s="43">
        <f t="shared" si="32"/>
        <v>325</v>
      </c>
      <c r="U88" s="44">
        <f t="shared" si="23"/>
        <v>45</v>
      </c>
      <c r="V88" s="45">
        <v>382</v>
      </c>
      <c r="W88" s="45">
        <v>2525</v>
      </c>
      <c r="X88" s="45" t="s">
        <v>56</v>
      </c>
      <c r="Y88" s="45" t="s">
        <v>42</v>
      </c>
      <c r="Z88" s="1">
        <f t="shared" si="24"/>
        <v>-12</v>
      </c>
      <c r="AA88" s="1">
        <f t="shared" si="25"/>
        <v>-1.7320508075688963</v>
      </c>
      <c r="AB88" s="50"/>
      <c r="AC88" s="50"/>
      <c r="AD88" s="50"/>
      <c r="AE88" s="50"/>
    </row>
    <row r="89" spans="1:62" s="49" customFormat="1" ht="16.5" customHeight="1" thickBot="1" x14ac:dyDescent="0.3">
      <c r="A89" s="84">
        <v>87</v>
      </c>
      <c r="B89" s="52" t="s">
        <v>35</v>
      </c>
      <c r="C89" s="41" t="s">
        <v>36</v>
      </c>
      <c r="D89" s="41" t="s">
        <v>37</v>
      </c>
      <c r="E89" s="41" t="s">
        <v>38</v>
      </c>
      <c r="F89" s="41" t="s">
        <v>91</v>
      </c>
      <c r="G89" s="42" t="s">
        <v>96</v>
      </c>
      <c r="H89" s="46" t="s">
        <v>23</v>
      </c>
      <c r="I89" s="62" t="s">
        <v>573</v>
      </c>
      <c r="J89" s="70">
        <v>2015</v>
      </c>
      <c r="K89" s="66" t="s">
        <v>28</v>
      </c>
      <c r="L89" s="41">
        <v>3</v>
      </c>
      <c r="M89" s="41">
        <v>1</v>
      </c>
      <c r="N89" s="47">
        <v>200</v>
      </c>
      <c r="O89" s="43">
        <f t="shared" si="30"/>
        <v>6.3333333333333286</v>
      </c>
      <c r="P89" s="57">
        <v>85</v>
      </c>
      <c r="Q89" s="57">
        <v>97</v>
      </c>
      <c r="R89" s="57">
        <v>90</v>
      </c>
      <c r="S89" s="48">
        <f t="shared" si="31"/>
        <v>288</v>
      </c>
      <c r="T89" s="43">
        <f t="shared" si="32"/>
        <v>90.666666666666671</v>
      </c>
      <c r="U89" s="44">
        <f t="shared" si="23"/>
        <v>31</v>
      </c>
      <c r="V89" s="45">
        <v>381</v>
      </c>
      <c r="W89" s="45">
        <v>2525</v>
      </c>
      <c r="X89" s="45" t="s">
        <v>56</v>
      </c>
      <c r="Y89" s="45" t="s">
        <v>42</v>
      </c>
      <c r="Z89" s="1">
        <f t="shared" si="24"/>
        <v>9.5</v>
      </c>
      <c r="AA89" s="1">
        <f t="shared" si="25"/>
        <v>4.3301270189221981</v>
      </c>
      <c r="AB89" s="50"/>
      <c r="AC89" s="50"/>
      <c r="AD89" s="50"/>
      <c r="AE89" s="50"/>
      <c r="BJ89" s="51"/>
    </row>
    <row r="90" spans="1:62" s="49" customFormat="1" ht="16.5" customHeight="1" thickBot="1" x14ac:dyDescent="0.3">
      <c r="A90" s="84">
        <v>88</v>
      </c>
      <c r="B90" s="52" t="s">
        <v>35</v>
      </c>
      <c r="C90" s="41" t="s">
        <v>36</v>
      </c>
      <c r="D90" s="41" t="s">
        <v>37</v>
      </c>
      <c r="E90" s="41" t="s">
        <v>38</v>
      </c>
      <c r="F90" s="41" t="s">
        <v>91</v>
      </c>
      <c r="G90" s="42" t="s">
        <v>97</v>
      </c>
      <c r="H90" s="46" t="s">
        <v>23</v>
      </c>
      <c r="I90" s="75" t="s">
        <v>596</v>
      </c>
      <c r="J90" s="70">
        <v>2006</v>
      </c>
      <c r="K90" s="66" t="s">
        <v>28</v>
      </c>
      <c r="L90" s="41">
        <v>3</v>
      </c>
      <c r="M90" s="41">
        <v>4</v>
      </c>
      <c r="N90" s="47">
        <v>500</v>
      </c>
      <c r="O90" s="43">
        <f t="shared" si="30"/>
        <v>5.6666666666666856</v>
      </c>
      <c r="P90" s="47">
        <v>262</v>
      </c>
      <c r="Q90" s="47">
        <v>269</v>
      </c>
      <c r="R90" s="47">
        <v>259</v>
      </c>
      <c r="S90" s="48">
        <f t="shared" si="31"/>
        <v>720</v>
      </c>
      <c r="T90" s="43">
        <f t="shared" si="32"/>
        <v>263.33333333333331</v>
      </c>
      <c r="U90" s="44">
        <f t="shared" si="23"/>
        <v>37</v>
      </c>
      <c r="V90" s="45">
        <v>381</v>
      </c>
      <c r="W90" s="45">
        <v>2525</v>
      </c>
      <c r="X90" s="45" t="s">
        <v>56</v>
      </c>
      <c r="Y90" s="45" t="s">
        <v>42</v>
      </c>
      <c r="Z90" s="1">
        <f t="shared" si="24"/>
        <v>8.5</v>
      </c>
      <c r="AA90" s="1">
        <f t="shared" si="25"/>
        <v>-2.598076211353316</v>
      </c>
      <c r="AB90" s="50"/>
      <c r="AC90" s="50"/>
      <c r="AD90" s="50"/>
      <c r="AE90" s="50"/>
      <c r="BJ90" s="51"/>
    </row>
    <row r="91" spans="1:62" s="49" customFormat="1" ht="16.5" customHeight="1" thickBot="1" x14ac:dyDescent="0.3">
      <c r="A91" s="98">
        <v>89</v>
      </c>
      <c r="B91" s="102" t="s">
        <v>35</v>
      </c>
      <c r="C91" s="103" t="s">
        <v>36</v>
      </c>
      <c r="D91" s="103" t="s">
        <v>37</v>
      </c>
      <c r="E91" s="103" t="s">
        <v>38</v>
      </c>
      <c r="F91" s="103" t="s">
        <v>98</v>
      </c>
      <c r="G91" s="99" t="s">
        <v>99</v>
      </c>
      <c r="H91" s="115" t="s">
        <v>23</v>
      </c>
      <c r="I91" s="121"/>
      <c r="J91" s="122"/>
      <c r="K91" s="116" t="s">
        <v>25</v>
      </c>
      <c r="L91" s="103">
        <v>3</v>
      </c>
      <c r="M91" s="103">
        <v>5</v>
      </c>
      <c r="N91" s="117">
        <v>800</v>
      </c>
      <c r="O91" s="118">
        <f t="shared" si="30"/>
        <v>4.6666666666666288</v>
      </c>
      <c r="P91" s="119">
        <v>569</v>
      </c>
      <c r="Q91" s="119">
        <v>577</v>
      </c>
      <c r="R91" s="119">
        <v>571</v>
      </c>
      <c r="S91" s="120">
        <f t="shared" si="31"/>
        <v>1152</v>
      </c>
      <c r="T91" s="118">
        <f t="shared" si="32"/>
        <v>572.33333333333337</v>
      </c>
      <c r="U91" s="100">
        <f t="shared" si="23"/>
        <v>50</v>
      </c>
      <c r="V91" s="104">
        <v>381</v>
      </c>
      <c r="W91" s="104">
        <v>2600</v>
      </c>
      <c r="X91" s="104" t="s">
        <v>41</v>
      </c>
      <c r="Y91" s="104" t="s">
        <v>42</v>
      </c>
      <c r="Z91" s="1">
        <f t="shared" si="24"/>
        <v>7</v>
      </c>
      <c r="AA91" s="1">
        <f t="shared" si="25"/>
        <v>1.7320508075688963</v>
      </c>
      <c r="AB91" s="50"/>
      <c r="AC91" s="50"/>
      <c r="AD91" s="50"/>
      <c r="AE91" s="50"/>
      <c r="BJ91" s="51"/>
    </row>
    <row r="92" spans="1:62" s="49" customFormat="1" ht="16.5" customHeight="1" thickBot="1" x14ac:dyDescent="0.3">
      <c r="A92" s="84">
        <v>90</v>
      </c>
      <c r="B92" s="52" t="s">
        <v>35</v>
      </c>
      <c r="C92" s="41" t="s">
        <v>36</v>
      </c>
      <c r="D92" s="41" t="s">
        <v>37</v>
      </c>
      <c r="E92" s="41" t="s">
        <v>38</v>
      </c>
      <c r="F92" s="41" t="s">
        <v>98</v>
      </c>
      <c r="G92" s="42" t="s">
        <v>100</v>
      </c>
      <c r="H92" s="46" t="s">
        <v>23</v>
      </c>
      <c r="I92" s="63"/>
      <c r="J92" s="71"/>
      <c r="K92" s="66" t="s">
        <v>25</v>
      </c>
      <c r="L92" s="41">
        <v>3</v>
      </c>
      <c r="M92" s="41">
        <v>3</v>
      </c>
      <c r="N92" s="47">
        <v>500</v>
      </c>
      <c r="O92" s="43">
        <f t="shared" si="30"/>
        <v>5</v>
      </c>
      <c r="P92" s="57">
        <v>328</v>
      </c>
      <c r="Q92" s="57">
        <v>333</v>
      </c>
      <c r="R92" s="57">
        <v>323</v>
      </c>
      <c r="S92" s="48">
        <f t="shared" si="31"/>
        <v>720</v>
      </c>
      <c r="T92" s="43">
        <f t="shared" si="32"/>
        <v>328</v>
      </c>
      <c r="U92" s="44">
        <f t="shared" si="23"/>
        <v>46</v>
      </c>
      <c r="V92" s="45">
        <v>381</v>
      </c>
      <c r="W92" s="45">
        <v>2600</v>
      </c>
      <c r="X92" s="45" t="s">
        <v>41</v>
      </c>
      <c r="Y92" s="45" t="s">
        <v>42</v>
      </c>
      <c r="Z92" s="1">
        <f t="shared" si="24"/>
        <v>7.5</v>
      </c>
      <c r="AA92" s="1">
        <f t="shared" si="25"/>
        <v>-4.3301270189222123</v>
      </c>
      <c r="AB92" s="50"/>
      <c r="AC92" s="50"/>
      <c r="AD92" s="50"/>
      <c r="AE92" s="50"/>
      <c r="BJ92" s="51"/>
    </row>
    <row r="93" spans="1:62" s="49" customFormat="1" ht="16.5" customHeight="1" thickBot="1" x14ac:dyDescent="0.3">
      <c r="A93" s="84">
        <v>91</v>
      </c>
      <c r="B93" s="52" t="s">
        <v>35</v>
      </c>
      <c r="C93" s="41" t="s">
        <v>36</v>
      </c>
      <c r="D93" s="41" t="s">
        <v>37</v>
      </c>
      <c r="E93" s="41" t="s">
        <v>38</v>
      </c>
      <c r="F93" s="41" t="s">
        <v>103</v>
      </c>
      <c r="G93" s="42" t="s">
        <v>427</v>
      </c>
      <c r="H93" s="46" t="s">
        <v>26</v>
      </c>
      <c r="I93" s="63"/>
      <c r="J93" s="71"/>
      <c r="K93" s="66" t="s">
        <v>25</v>
      </c>
      <c r="L93" s="41">
        <v>3</v>
      </c>
      <c r="M93" s="41"/>
      <c r="N93" s="47">
        <v>1000</v>
      </c>
      <c r="O93" s="43">
        <f t="shared" si="30"/>
        <v>7.3333333333333712</v>
      </c>
      <c r="P93" s="47">
        <v>631</v>
      </c>
      <c r="Q93" s="47">
        <v>615</v>
      </c>
      <c r="R93" s="47">
        <v>625</v>
      </c>
      <c r="S93" s="48">
        <f t="shared" si="31"/>
        <v>1440</v>
      </c>
      <c r="T93" s="43">
        <f t="shared" si="32"/>
        <v>623.66666666666663</v>
      </c>
      <c r="U93" s="44">
        <f t="shared" si="23"/>
        <v>43</v>
      </c>
      <c r="V93" s="45">
        <v>380</v>
      </c>
      <c r="W93" s="45">
        <v>2600</v>
      </c>
      <c r="X93" s="45" t="s">
        <v>41</v>
      </c>
      <c r="Y93" s="45" t="s">
        <v>42</v>
      </c>
      <c r="Z93" s="1">
        <f>Q123-0.5*R123-0.5*P123</f>
        <v>10.5</v>
      </c>
      <c r="AA93" s="1">
        <f>SQRT(3)/2*R123-SQRT(3)/2*P123</f>
        <v>-4.3301270189222123</v>
      </c>
      <c r="AB93" s="50"/>
      <c r="AC93" s="50"/>
      <c r="AD93" s="50"/>
      <c r="AE93" s="50"/>
      <c r="BJ93" s="51"/>
    </row>
    <row r="94" spans="1:62" s="49" customFormat="1" ht="16.5" customHeight="1" thickBot="1" x14ac:dyDescent="0.3">
      <c r="A94" s="84">
        <v>92</v>
      </c>
      <c r="B94" s="52" t="s">
        <v>35</v>
      </c>
      <c r="C94" s="41" t="s">
        <v>36</v>
      </c>
      <c r="D94" s="41" t="s">
        <v>37</v>
      </c>
      <c r="E94" s="41" t="s">
        <v>38</v>
      </c>
      <c r="F94" s="41" t="s">
        <v>103</v>
      </c>
      <c r="G94" s="42" t="s">
        <v>428</v>
      </c>
      <c r="H94" s="46" t="s">
        <v>26</v>
      </c>
      <c r="I94" s="63"/>
      <c r="J94" s="71"/>
      <c r="K94" s="66" t="s">
        <v>25</v>
      </c>
      <c r="L94" s="41">
        <v>3</v>
      </c>
      <c r="M94" s="41"/>
      <c r="N94" s="47">
        <v>1000</v>
      </c>
      <c r="O94" s="43">
        <f t="shared" si="30"/>
        <v>6.6666666666666288</v>
      </c>
      <c r="P94" s="47">
        <v>614</v>
      </c>
      <c r="Q94" s="47">
        <v>622</v>
      </c>
      <c r="R94" s="47">
        <v>610</v>
      </c>
      <c r="S94" s="48">
        <f t="shared" si="31"/>
        <v>1440</v>
      </c>
      <c r="T94" s="43">
        <f t="shared" si="32"/>
        <v>615.33333333333337</v>
      </c>
      <c r="U94" s="44">
        <f t="shared" si="23"/>
        <v>43</v>
      </c>
      <c r="V94" s="45">
        <v>380</v>
      </c>
      <c r="W94" s="45">
        <v>2600</v>
      </c>
      <c r="X94" s="45" t="s">
        <v>41</v>
      </c>
      <c r="Y94" s="45" t="s">
        <v>42</v>
      </c>
      <c r="Z94" s="1">
        <f>Q119-0.5*R119-0.5*P119</f>
        <v>-7</v>
      </c>
      <c r="AA94" s="1">
        <f>SQRT(3)/2*R119-SQRT(3)/2*P119</f>
        <v>17.320508075688764</v>
      </c>
      <c r="AB94" s="50"/>
      <c r="AC94" s="50"/>
      <c r="AD94" s="50"/>
      <c r="AE94" s="50"/>
      <c r="BJ94" s="51"/>
    </row>
    <row r="95" spans="1:62" s="49" customFormat="1" ht="16.5" customHeight="1" thickBot="1" x14ac:dyDescent="0.3">
      <c r="A95" s="84">
        <v>93</v>
      </c>
      <c r="B95" s="52" t="s">
        <v>35</v>
      </c>
      <c r="C95" s="41" t="s">
        <v>36</v>
      </c>
      <c r="D95" s="41" t="s">
        <v>37</v>
      </c>
      <c r="E95" s="41" t="s">
        <v>38</v>
      </c>
      <c r="F95" s="41" t="s">
        <v>103</v>
      </c>
      <c r="G95" s="42" t="s">
        <v>104</v>
      </c>
      <c r="H95" s="46" t="s">
        <v>23</v>
      </c>
      <c r="I95" s="63"/>
      <c r="J95" s="71"/>
      <c r="K95" s="66" t="s">
        <v>25</v>
      </c>
      <c r="L95" s="41">
        <v>3</v>
      </c>
      <c r="M95" s="41">
        <v>4</v>
      </c>
      <c r="N95" s="47">
        <v>500</v>
      </c>
      <c r="O95" s="43">
        <f t="shared" si="30"/>
        <v>5.3333333333333144</v>
      </c>
      <c r="P95" s="47">
        <v>275</v>
      </c>
      <c r="Q95" s="47">
        <v>271</v>
      </c>
      <c r="R95" s="47">
        <v>263</v>
      </c>
      <c r="S95" s="48">
        <f t="shared" ref="S95:S97" si="33">1.44*N95</f>
        <v>720</v>
      </c>
      <c r="T95" s="43">
        <f t="shared" ref="T95:T97" si="34">(R95+Q95+P95)/3</f>
        <v>269.66666666666669</v>
      </c>
      <c r="U95" s="44">
        <f t="shared" si="23"/>
        <v>37</v>
      </c>
      <c r="V95" s="45">
        <v>380</v>
      </c>
      <c r="W95" s="45">
        <v>2600</v>
      </c>
      <c r="X95" s="45" t="s">
        <v>41</v>
      </c>
      <c r="Y95" s="45" t="s">
        <v>42</v>
      </c>
      <c r="Z95" s="1">
        <f>Q93-0.5*R93-0.5*P93</f>
        <v>-13</v>
      </c>
      <c r="AA95" s="1">
        <f>SQRT(3)/2*R93-SQRT(3)/2*P93</f>
        <v>-5.196152422706632</v>
      </c>
      <c r="AB95" s="50"/>
      <c r="AC95" s="50"/>
      <c r="AD95" s="50"/>
      <c r="AE95" s="50"/>
      <c r="BJ95" s="51"/>
    </row>
    <row r="96" spans="1:62" s="49" customFormat="1" ht="16.5" customHeight="1" thickBot="1" x14ac:dyDescent="0.3">
      <c r="A96" s="98">
        <v>94</v>
      </c>
      <c r="B96" s="102" t="s">
        <v>35</v>
      </c>
      <c r="C96" s="103" t="s">
        <v>36</v>
      </c>
      <c r="D96" s="103" t="s">
        <v>37</v>
      </c>
      <c r="E96" s="103" t="s">
        <v>38</v>
      </c>
      <c r="F96" s="103" t="s">
        <v>103</v>
      </c>
      <c r="G96" s="99" t="s">
        <v>105</v>
      </c>
      <c r="H96" s="115" t="s">
        <v>23</v>
      </c>
      <c r="I96" s="107" t="s">
        <v>573</v>
      </c>
      <c r="J96" s="108">
        <v>2018</v>
      </c>
      <c r="K96" s="116" t="s">
        <v>28</v>
      </c>
      <c r="L96" s="103">
        <v>3</v>
      </c>
      <c r="M96" s="103">
        <v>2</v>
      </c>
      <c r="N96" s="117">
        <v>800</v>
      </c>
      <c r="O96" s="118">
        <f t="shared" si="30"/>
        <v>5</v>
      </c>
      <c r="P96" s="119">
        <v>361</v>
      </c>
      <c r="Q96" s="119">
        <v>352</v>
      </c>
      <c r="R96" s="119">
        <v>355</v>
      </c>
      <c r="S96" s="120">
        <f t="shared" si="33"/>
        <v>1152</v>
      </c>
      <c r="T96" s="118">
        <f t="shared" si="34"/>
        <v>356</v>
      </c>
      <c r="U96" s="100">
        <f t="shared" si="23"/>
        <v>31</v>
      </c>
      <c r="V96" s="104">
        <v>381</v>
      </c>
      <c r="W96" s="104">
        <v>2600</v>
      </c>
      <c r="X96" s="104" t="s">
        <v>41</v>
      </c>
      <c r="Y96" s="104" t="s">
        <v>42</v>
      </c>
      <c r="Z96" s="1">
        <f>Q94-0.5*R94-0.5*P94</f>
        <v>10</v>
      </c>
      <c r="AA96" s="1">
        <f>SQRT(3)/2*R94-SQRT(3)/2*P94</f>
        <v>-3.4641016151377926</v>
      </c>
      <c r="AB96" s="50"/>
      <c r="AC96" s="50"/>
      <c r="AD96" s="50"/>
      <c r="AE96" s="50"/>
      <c r="BJ96" s="51"/>
    </row>
    <row r="97" spans="1:62" s="49" customFormat="1" ht="16.5" customHeight="1" thickBot="1" x14ac:dyDescent="0.25">
      <c r="A97" s="84">
        <v>95</v>
      </c>
      <c r="B97" s="52" t="s">
        <v>35</v>
      </c>
      <c r="C97" s="41" t="s">
        <v>36</v>
      </c>
      <c r="D97" s="41" t="s">
        <v>37</v>
      </c>
      <c r="E97" s="41" t="s">
        <v>38</v>
      </c>
      <c r="F97" s="41" t="s">
        <v>103</v>
      </c>
      <c r="G97" s="42" t="s">
        <v>429</v>
      </c>
      <c r="H97" s="46" t="s">
        <v>26</v>
      </c>
      <c r="I97" s="63"/>
      <c r="J97" s="71"/>
      <c r="K97" s="66" t="s">
        <v>25</v>
      </c>
      <c r="L97" s="41">
        <v>3</v>
      </c>
      <c r="M97" s="41"/>
      <c r="N97" s="47">
        <v>300</v>
      </c>
      <c r="O97" s="43">
        <f t="shared" si="30"/>
        <v>8.6666666666666572</v>
      </c>
      <c r="P97" s="47">
        <v>169</v>
      </c>
      <c r="Q97" s="47">
        <v>175</v>
      </c>
      <c r="R97" s="47">
        <v>185</v>
      </c>
      <c r="S97" s="48">
        <f t="shared" si="33"/>
        <v>432</v>
      </c>
      <c r="T97" s="43">
        <f t="shared" si="34"/>
        <v>176.33333333333334</v>
      </c>
      <c r="U97" s="44">
        <f t="shared" si="23"/>
        <v>41</v>
      </c>
      <c r="V97" s="45">
        <v>381</v>
      </c>
      <c r="W97" s="45">
        <v>2600</v>
      </c>
      <c r="X97" s="45" t="s">
        <v>41</v>
      </c>
      <c r="Y97" s="45" t="s">
        <v>42</v>
      </c>
      <c r="Z97" s="1">
        <f>Q95-0.5*R95-0.5*P95</f>
        <v>2</v>
      </c>
      <c r="AA97" s="1">
        <f>SQRT(3)/2*R95-SQRT(3)/2*P95</f>
        <v>-10.392304845413264</v>
      </c>
      <c r="BJ97" s="51"/>
    </row>
    <row r="98" spans="1:62" s="49" customFormat="1" ht="16.5" customHeight="1" thickBot="1" x14ac:dyDescent="0.25">
      <c r="A98" s="84">
        <v>96</v>
      </c>
      <c r="B98" s="52" t="s">
        <v>35</v>
      </c>
      <c r="C98" s="41" t="s">
        <v>36</v>
      </c>
      <c r="D98" s="41" t="s">
        <v>37</v>
      </c>
      <c r="E98" s="41" t="s">
        <v>38</v>
      </c>
      <c r="F98" s="41" t="s">
        <v>103</v>
      </c>
      <c r="G98" s="42" t="s">
        <v>106</v>
      </c>
      <c r="H98" s="46" t="s">
        <v>23</v>
      </c>
      <c r="I98" s="63"/>
      <c r="J98" s="71"/>
      <c r="K98" s="66" t="s">
        <v>25</v>
      </c>
      <c r="L98" s="41">
        <v>3</v>
      </c>
      <c r="M98" s="41">
        <v>3</v>
      </c>
      <c r="N98" s="47">
        <v>500</v>
      </c>
      <c r="O98" s="43">
        <f t="shared" si="30"/>
        <v>5.3333333333333144</v>
      </c>
      <c r="P98" s="47">
        <v>289</v>
      </c>
      <c r="Q98" s="47">
        <v>300</v>
      </c>
      <c r="R98" s="47">
        <v>295</v>
      </c>
      <c r="S98" s="48">
        <f t="shared" ref="S98:S109" si="35">1.44*N98</f>
        <v>720</v>
      </c>
      <c r="T98" s="43">
        <f t="shared" ref="T98:T109" si="36">(R98+Q98+P98)/3</f>
        <v>294.66666666666669</v>
      </c>
      <c r="U98" s="44">
        <f t="shared" si="23"/>
        <v>41</v>
      </c>
      <c r="V98" s="45">
        <v>383</v>
      </c>
      <c r="W98" s="45">
        <v>1700</v>
      </c>
      <c r="X98" s="45" t="s">
        <v>41</v>
      </c>
      <c r="Y98" s="45" t="s">
        <v>42</v>
      </c>
      <c r="Z98" s="1"/>
      <c r="AA98" s="1"/>
      <c r="BJ98" s="51"/>
    </row>
    <row r="99" spans="1:62" s="49" customFormat="1" ht="16.5" customHeight="1" thickBot="1" x14ac:dyDescent="0.3">
      <c r="A99" s="84">
        <v>97</v>
      </c>
      <c r="B99" s="52" t="s">
        <v>35</v>
      </c>
      <c r="C99" s="41" t="s">
        <v>36</v>
      </c>
      <c r="D99" s="41" t="s">
        <v>37</v>
      </c>
      <c r="E99" s="41" t="s">
        <v>38</v>
      </c>
      <c r="F99" s="41" t="s">
        <v>103</v>
      </c>
      <c r="G99" s="42" t="s">
        <v>133</v>
      </c>
      <c r="H99" s="46" t="s">
        <v>23</v>
      </c>
      <c r="I99" s="62" t="s">
        <v>573</v>
      </c>
      <c r="J99" s="70">
        <v>2018</v>
      </c>
      <c r="K99" s="66" t="s">
        <v>28</v>
      </c>
      <c r="L99" s="41">
        <v>3</v>
      </c>
      <c r="M99" s="41">
        <v>2</v>
      </c>
      <c r="N99" s="47">
        <v>100</v>
      </c>
      <c r="O99" s="43">
        <f t="shared" si="30"/>
        <v>5</v>
      </c>
      <c r="P99" s="57">
        <v>53</v>
      </c>
      <c r="Q99" s="57">
        <v>56</v>
      </c>
      <c r="R99" s="57">
        <v>62</v>
      </c>
      <c r="S99" s="48">
        <f t="shared" si="35"/>
        <v>144</v>
      </c>
      <c r="T99" s="43">
        <f t="shared" si="36"/>
        <v>57</v>
      </c>
      <c r="U99" s="44">
        <f t="shared" si="23"/>
        <v>40</v>
      </c>
      <c r="V99" s="45">
        <v>380</v>
      </c>
      <c r="W99" s="45">
        <v>1599</v>
      </c>
      <c r="X99" s="45" t="s">
        <v>41</v>
      </c>
      <c r="Y99" s="45" t="s">
        <v>42</v>
      </c>
      <c r="Z99" s="1">
        <f>Q97-0.5*R97-0.5*P97</f>
        <v>-2</v>
      </c>
      <c r="AA99" s="1">
        <f>SQRT(3)/2*R97-SQRT(3)/2*P97</f>
        <v>13.856406460551028</v>
      </c>
      <c r="BJ99" s="51"/>
    </row>
    <row r="100" spans="1:62" s="49" customFormat="1" ht="16.5" customHeight="1" thickBot="1" x14ac:dyDescent="0.25">
      <c r="A100" s="98">
        <v>98</v>
      </c>
      <c r="B100" s="102" t="s">
        <v>35</v>
      </c>
      <c r="C100" s="103" t="s">
        <v>36</v>
      </c>
      <c r="D100" s="103" t="s">
        <v>37</v>
      </c>
      <c r="E100" s="103" t="s">
        <v>38</v>
      </c>
      <c r="F100" s="103" t="s">
        <v>103</v>
      </c>
      <c r="G100" s="99" t="s">
        <v>107</v>
      </c>
      <c r="H100" s="115" t="s">
        <v>23</v>
      </c>
      <c r="I100" s="129" t="s">
        <v>593</v>
      </c>
      <c r="J100" s="108">
        <v>2023</v>
      </c>
      <c r="K100" s="116" t="s">
        <v>28</v>
      </c>
      <c r="L100" s="103">
        <v>3</v>
      </c>
      <c r="M100" s="103">
        <v>3</v>
      </c>
      <c r="N100" s="117">
        <v>1000</v>
      </c>
      <c r="O100" s="118">
        <f t="shared" si="30"/>
        <v>6.3333333333333712</v>
      </c>
      <c r="P100" s="117">
        <v>567</v>
      </c>
      <c r="Q100" s="117">
        <v>562</v>
      </c>
      <c r="R100" s="117">
        <v>553</v>
      </c>
      <c r="S100" s="120">
        <f t="shared" si="35"/>
        <v>1440</v>
      </c>
      <c r="T100" s="118">
        <f t="shared" si="36"/>
        <v>560.66666666666663</v>
      </c>
      <c r="U100" s="100">
        <f t="shared" si="23"/>
        <v>39</v>
      </c>
      <c r="V100" s="104">
        <v>381</v>
      </c>
      <c r="W100" s="104">
        <v>2600</v>
      </c>
      <c r="X100" s="104" t="s">
        <v>41</v>
      </c>
      <c r="Y100" s="104" t="s">
        <v>42</v>
      </c>
      <c r="Z100" s="1"/>
      <c r="AA100" s="1"/>
      <c r="BJ100" s="51"/>
    </row>
    <row r="101" spans="1:62" s="49" customFormat="1" ht="16.5" customHeight="1" thickBot="1" x14ac:dyDescent="0.25">
      <c r="A101" s="98">
        <v>99</v>
      </c>
      <c r="B101" s="102" t="s">
        <v>35</v>
      </c>
      <c r="C101" s="103" t="s">
        <v>36</v>
      </c>
      <c r="D101" s="103" t="s">
        <v>37</v>
      </c>
      <c r="E101" s="103" t="s">
        <v>38</v>
      </c>
      <c r="F101" s="103" t="s">
        <v>103</v>
      </c>
      <c r="G101" s="99" t="s">
        <v>108</v>
      </c>
      <c r="H101" s="115" t="s">
        <v>23</v>
      </c>
      <c r="I101" s="121" t="s">
        <v>591</v>
      </c>
      <c r="J101" s="122">
        <v>2018</v>
      </c>
      <c r="K101" s="116" t="s">
        <v>25</v>
      </c>
      <c r="L101" s="103">
        <v>3</v>
      </c>
      <c r="M101" s="103">
        <v>5</v>
      </c>
      <c r="N101" s="117">
        <v>1000</v>
      </c>
      <c r="O101" s="118">
        <f t="shared" si="30"/>
        <v>4.6666666666666288</v>
      </c>
      <c r="P101" s="117">
        <v>587</v>
      </c>
      <c r="Q101" s="117">
        <v>596</v>
      </c>
      <c r="R101" s="117">
        <v>591</v>
      </c>
      <c r="S101" s="120">
        <f t="shared" si="35"/>
        <v>1440</v>
      </c>
      <c r="T101" s="118">
        <f t="shared" si="36"/>
        <v>591.33333333333337</v>
      </c>
      <c r="U101" s="100">
        <f t="shared" si="23"/>
        <v>41</v>
      </c>
      <c r="V101" s="104">
        <v>380</v>
      </c>
      <c r="W101" s="104">
        <v>2600</v>
      </c>
      <c r="X101" s="104" t="s">
        <v>41</v>
      </c>
      <c r="Y101" s="104" t="s">
        <v>42</v>
      </c>
      <c r="Z101" s="1"/>
      <c r="AA101" s="1"/>
      <c r="BJ101" s="51"/>
    </row>
    <row r="102" spans="1:62" s="49" customFormat="1" ht="16.5" customHeight="1" thickBot="1" x14ac:dyDescent="0.25">
      <c r="A102" s="98">
        <v>100</v>
      </c>
      <c r="B102" s="102" t="s">
        <v>35</v>
      </c>
      <c r="C102" s="103" t="s">
        <v>36</v>
      </c>
      <c r="D102" s="103" t="s">
        <v>37</v>
      </c>
      <c r="E102" s="103" t="s">
        <v>38</v>
      </c>
      <c r="F102" s="103" t="s">
        <v>103</v>
      </c>
      <c r="G102" s="99" t="s">
        <v>109</v>
      </c>
      <c r="H102" s="115" t="s">
        <v>23</v>
      </c>
      <c r="I102" s="131" t="s">
        <v>594</v>
      </c>
      <c r="J102" s="122">
        <v>1985</v>
      </c>
      <c r="K102" s="116" t="s">
        <v>25</v>
      </c>
      <c r="L102" s="103">
        <v>3</v>
      </c>
      <c r="M102" s="103">
        <v>3</v>
      </c>
      <c r="N102" s="117">
        <v>500</v>
      </c>
      <c r="O102" s="118">
        <f t="shared" si="30"/>
        <v>5.6666666666666856</v>
      </c>
      <c r="P102" s="117">
        <v>371</v>
      </c>
      <c r="Q102" s="117">
        <v>374</v>
      </c>
      <c r="R102" s="117">
        <v>381</v>
      </c>
      <c r="S102" s="120">
        <f t="shared" si="35"/>
        <v>720</v>
      </c>
      <c r="T102" s="118">
        <f t="shared" si="36"/>
        <v>375.33333333333331</v>
      </c>
      <c r="U102" s="100">
        <f t="shared" si="23"/>
        <v>52</v>
      </c>
      <c r="V102" s="104">
        <v>381</v>
      </c>
      <c r="W102" s="104">
        <v>2600</v>
      </c>
      <c r="X102" s="104" t="s">
        <v>41</v>
      </c>
      <c r="Y102" s="104" t="s">
        <v>42</v>
      </c>
      <c r="Z102" s="1">
        <f>Q100-0.5*R100-0.5*P100</f>
        <v>2</v>
      </c>
      <c r="AA102" s="1">
        <f>SQRT(3)/2*R100-SQRT(3)/2*P100</f>
        <v>-12.124355652982103</v>
      </c>
      <c r="BJ102" s="51"/>
    </row>
    <row r="103" spans="1:62" s="49" customFormat="1" ht="16.5" customHeight="1" thickBot="1" x14ac:dyDescent="0.25">
      <c r="A103" s="84">
        <v>101</v>
      </c>
      <c r="B103" s="52" t="s">
        <v>35</v>
      </c>
      <c r="C103" s="41" t="s">
        <v>36</v>
      </c>
      <c r="D103" s="41" t="s">
        <v>37</v>
      </c>
      <c r="E103" s="41" t="s">
        <v>38</v>
      </c>
      <c r="F103" s="41" t="s">
        <v>110</v>
      </c>
      <c r="G103" s="42" t="s">
        <v>111</v>
      </c>
      <c r="H103" s="46" t="s">
        <v>23</v>
      </c>
      <c r="I103" s="62"/>
      <c r="J103" s="70"/>
      <c r="K103" s="66" t="s">
        <v>28</v>
      </c>
      <c r="L103" s="41">
        <v>3</v>
      </c>
      <c r="M103" s="41">
        <v>4</v>
      </c>
      <c r="N103" s="47">
        <v>500</v>
      </c>
      <c r="O103" s="43">
        <f t="shared" si="30"/>
        <v>5</v>
      </c>
      <c r="P103" s="54">
        <v>349</v>
      </c>
      <c r="Q103" s="54">
        <v>336</v>
      </c>
      <c r="R103" s="54">
        <v>347</v>
      </c>
      <c r="S103" s="48">
        <f t="shared" si="35"/>
        <v>720</v>
      </c>
      <c r="T103" s="43">
        <f t="shared" si="36"/>
        <v>344</v>
      </c>
      <c r="U103" s="44">
        <f t="shared" si="23"/>
        <v>48</v>
      </c>
      <c r="V103" s="45">
        <v>382</v>
      </c>
      <c r="W103" s="45">
        <v>2600</v>
      </c>
      <c r="X103" s="45" t="s">
        <v>41</v>
      </c>
      <c r="Y103" s="45" t="s">
        <v>42</v>
      </c>
      <c r="Z103" s="1">
        <f>Q101-0.5*R101-0.5*P101</f>
        <v>7</v>
      </c>
      <c r="AA103" s="1">
        <f>SQRT(3)/2*R101-SQRT(3)/2*P101</f>
        <v>3.4641016151377357</v>
      </c>
      <c r="BJ103" s="51"/>
    </row>
    <row r="104" spans="1:62" s="49" customFormat="1" ht="16.5" customHeight="1" thickBot="1" x14ac:dyDescent="0.3">
      <c r="A104" s="84">
        <v>102</v>
      </c>
      <c r="B104" s="52" t="s">
        <v>35</v>
      </c>
      <c r="C104" s="41" t="s">
        <v>36</v>
      </c>
      <c r="D104" s="41" t="s">
        <v>37</v>
      </c>
      <c r="E104" s="41" t="s">
        <v>38</v>
      </c>
      <c r="F104" s="41" t="s">
        <v>110</v>
      </c>
      <c r="G104" s="42" t="s">
        <v>574</v>
      </c>
      <c r="H104" s="46" t="s">
        <v>26</v>
      </c>
      <c r="I104" s="62"/>
      <c r="J104" s="70"/>
      <c r="K104" s="66" t="s">
        <v>25</v>
      </c>
      <c r="L104" s="41">
        <v>3</v>
      </c>
      <c r="M104" s="41"/>
      <c r="N104" s="47">
        <v>1500</v>
      </c>
      <c r="O104" s="43">
        <f t="shared" si="30"/>
        <v>6.3333333333333712</v>
      </c>
      <c r="P104" s="54">
        <v>893</v>
      </c>
      <c r="Q104" s="54">
        <v>907</v>
      </c>
      <c r="R104" s="54">
        <v>902</v>
      </c>
      <c r="S104" s="48">
        <f t="shared" si="35"/>
        <v>2160</v>
      </c>
      <c r="T104" s="43">
        <f t="shared" si="36"/>
        <v>900.66666666666663</v>
      </c>
      <c r="U104" s="44">
        <f t="shared" si="23"/>
        <v>42</v>
      </c>
      <c r="V104" s="45">
        <v>382</v>
      </c>
      <c r="W104" s="45">
        <v>2600</v>
      </c>
      <c r="X104" s="45" t="s">
        <v>41</v>
      </c>
      <c r="Y104" s="45" t="s">
        <v>42</v>
      </c>
      <c r="Z104" s="1">
        <f>Q102-0.5*R102-0.5*P102</f>
        <v>-2</v>
      </c>
      <c r="AA104" s="1">
        <f>SQRT(3)/2*R102-SQRT(3)/2*P102</f>
        <v>8.6602540378444246</v>
      </c>
      <c r="AB104" s="50"/>
    </row>
    <row r="105" spans="1:62" s="49" customFormat="1" ht="16.5" customHeight="1" thickBot="1" x14ac:dyDescent="0.3">
      <c r="A105" s="84">
        <v>103</v>
      </c>
      <c r="B105" s="52" t="s">
        <v>35</v>
      </c>
      <c r="C105" s="41" t="s">
        <v>36</v>
      </c>
      <c r="D105" s="41" t="s">
        <v>37</v>
      </c>
      <c r="E105" s="41" t="s">
        <v>38</v>
      </c>
      <c r="F105" s="41" t="s">
        <v>110</v>
      </c>
      <c r="G105" s="42" t="s">
        <v>431</v>
      </c>
      <c r="H105" s="46" t="s">
        <v>26</v>
      </c>
      <c r="I105" s="65"/>
      <c r="J105" s="73"/>
      <c r="K105" s="66" t="s">
        <v>25</v>
      </c>
      <c r="L105" s="41">
        <v>3</v>
      </c>
      <c r="M105" s="41"/>
      <c r="N105" s="47">
        <v>300</v>
      </c>
      <c r="O105" s="43">
        <f t="shared" si="30"/>
        <v>5.6666666666666572</v>
      </c>
      <c r="P105" s="54">
        <v>191</v>
      </c>
      <c r="Q105" s="54">
        <v>187</v>
      </c>
      <c r="R105" s="54">
        <v>178</v>
      </c>
      <c r="S105" s="48">
        <f t="shared" si="35"/>
        <v>432</v>
      </c>
      <c r="T105" s="43">
        <f t="shared" si="36"/>
        <v>185.33333333333334</v>
      </c>
      <c r="U105" s="44">
        <f t="shared" ref="U105:U107" si="37">ROUND(((AVERAGE(P105,R105,Q105))/(N105*1.44))*100,0)</f>
        <v>43</v>
      </c>
      <c r="V105" s="45">
        <v>381</v>
      </c>
      <c r="W105" s="45">
        <v>2600</v>
      </c>
      <c r="X105" s="45" t="s">
        <v>41</v>
      </c>
      <c r="Y105" s="45" t="s">
        <v>42</v>
      </c>
      <c r="Z105" s="1">
        <f>Q103-0.5*R103-0.5*P103</f>
        <v>-12</v>
      </c>
      <c r="AA105" s="1">
        <f>SQRT(3)/2*R103-SQRT(3)/2*P103</f>
        <v>-1.7320508075688963</v>
      </c>
      <c r="AB105" s="50"/>
    </row>
    <row r="106" spans="1:62" s="49" customFormat="1" ht="16.5" customHeight="1" thickBot="1" x14ac:dyDescent="0.3">
      <c r="A106" s="84">
        <v>104</v>
      </c>
      <c r="B106" s="52" t="s">
        <v>35</v>
      </c>
      <c r="C106" s="41" t="s">
        <v>36</v>
      </c>
      <c r="D106" s="41" t="s">
        <v>37</v>
      </c>
      <c r="E106" s="41" t="s">
        <v>38</v>
      </c>
      <c r="F106" s="41" t="s">
        <v>110</v>
      </c>
      <c r="G106" s="42" t="s">
        <v>575</v>
      </c>
      <c r="H106" s="46" t="s">
        <v>26</v>
      </c>
      <c r="I106" s="62"/>
      <c r="J106" s="70"/>
      <c r="K106" s="66" t="s">
        <v>28</v>
      </c>
      <c r="L106" s="41">
        <v>3</v>
      </c>
      <c r="M106" s="41"/>
      <c r="N106" s="47">
        <v>1000</v>
      </c>
      <c r="O106" s="43">
        <f t="shared" si="30"/>
        <v>6.3333333333333712</v>
      </c>
      <c r="P106" s="54">
        <v>608</v>
      </c>
      <c r="Q106" s="54">
        <v>615</v>
      </c>
      <c r="R106" s="54">
        <v>621</v>
      </c>
      <c r="S106" s="48">
        <f t="shared" si="35"/>
        <v>1440</v>
      </c>
      <c r="T106" s="43">
        <f t="shared" si="36"/>
        <v>614.66666666666663</v>
      </c>
      <c r="U106" s="44">
        <f t="shared" si="37"/>
        <v>43</v>
      </c>
      <c r="V106" s="45">
        <v>381</v>
      </c>
      <c r="W106" s="45">
        <v>2600</v>
      </c>
      <c r="X106" s="45" t="s">
        <v>41</v>
      </c>
      <c r="Y106" s="45" t="s">
        <v>42</v>
      </c>
      <c r="Z106" s="1"/>
      <c r="AA106" s="1"/>
      <c r="AB106" s="50"/>
    </row>
    <row r="107" spans="1:62" s="49" customFormat="1" ht="16.5" customHeight="1" thickBot="1" x14ac:dyDescent="0.3">
      <c r="A107" s="84">
        <v>105</v>
      </c>
      <c r="B107" s="52" t="s">
        <v>35</v>
      </c>
      <c r="C107" s="41" t="s">
        <v>36</v>
      </c>
      <c r="D107" s="41" t="s">
        <v>37</v>
      </c>
      <c r="E107" s="41" t="s">
        <v>38</v>
      </c>
      <c r="F107" s="41" t="s">
        <v>110</v>
      </c>
      <c r="G107" s="42" t="s">
        <v>576</v>
      </c>
      <c r="H107" s="46" t="s">
        <v>26</v>
      </c>
      <c r="I107" s="62"/>
      <c r="J107" s="70"/>
      <c r="K107" s="66" t="s">
        <v>28</v>
      </c>
      <c r="L107" s="41">
        <v>3</v>
      </c>
      <c r="M107" s="41"/>
      <c r="N107" s="47">
        <v>500</v>
      </c>
      <c r="O107" s="43">
        <f t="shared" si="30"/>
        <v>4</v>
      </c>
      <c r="P107" s="54">
        <v>346</v>
      </c>
      <c r="Q107" s="54">
        <v>351</v>
      </c>
      <c r="R107" s="54">
        <v>344</v>
      </c>
      <c r="S107" s="48">
        <f t="shared" si="35"/>
        <v>720</v>
      </c>
      <c r="T107" s="43">
        <f t="shared" si="36"/>
        <v>347</v>
      </c>
      <c r="U107" s="44">
        <f t="shared" si="37"/>
        <v>48</v>
      </c>
      <c r="V107" s="45">
        <v>381</v>
      </c>
      <c r="W107" s="45">
        <v>2600</v>
      </c>
      <c r="X107" s="45" t="s">
        <v>41</v>
      </c>
      <c r="Y107" s="45" t="s">
        <v>42</v>
      </c>
      <c r="Z107" s="1"/>
      <c r="AA107" s="1"/>
      <c r="AB107" s="50"/>
    </row>
    <row r="108" spans="1:62" s="49" customFormat="1" ht="16.5" customHeight="1" thickBot="1" x14ac:dyDescent="0.3">
      <c r="A108" s="84">
        <v>106</v>
      </c>
      <c r="B108" s="52" t="s">
        <v>35</v>
      </c>
      <c r="C108" s="41" t="s">
        <v>36</v>
      </c>
      <c r="D108" s="41" t="s">
        <v>37</v>
      </c>
      <c r="E108" s="41" t="s">
        <v>38</v>
      </c>
      <c r="F108" s="41" t="s">
        <v>110</v>
      </c>
      <c r="G108" s="42" t="s">
        <v>430</v>
      </c>
      <c r="H108" s="46" t="s">
        <v>26</v>
      </c>
      <c r="I108" s="64"/>
      <c r="J108" s="72"/>
      <c r="K108" s="66" t="s">
        <v>25</v>
      </c>
      <c r="L108" s="41">
        <v>3</v>
      </c>
      <c r="M108" s="41"/>
      <c r="N108" s="47">
        <v>300</v>
      </c>
      <c r="O108" s="43">
        <f t="shared" si="30"/>
        <v>4.3333333333333428</v>
      </c>
      <c r="P108" s="54">
        <v>176</v>
      </c>
      <c r="Q108" s="54">
        <v>182</v>
      </c>
      <c r="R108" s="54">
        <v>175</v>
      </c>
      <c r="S108" s="48">
        <f t="shared" si="35"/>
        <v>432</v>
      </c>
      <c r="T108" s="43">
        <f t="shared" si="36"/>
        <v>177.66666666666666</v>
      </c>
      <c r="U108" s="44">
        <f t="shared" si="23"/>
        <v>41</v>
      </c>
      <c r="V108" s="45">
        <v>382</v>
      </c>
      <c r="W108" s="45">
        <v>2600</v>
      </c>
      <c r="X108" s="45" t="s">
        <v>41</v>
      </c>
      <c r="Y108" s="45" t="s">
        <v>42</v>
      </c>
      <c r="Z108" s="1"/>
      <c r="AA108" s="1"/>
      <c r="AB108" s="50"/>
    </row>
    <row r="109" spans="1:62" s="49" customFormat="1" ht="16.5" customHeight="1" thickBot="1" x14ac:dyDescent="0.3">
      <c r="A109" s="84">
        <v>107</v>
      </c>
      <c r="B109" s="52" t="s">
        <v>35</v>
      </c>
      <c r="C109" s="41" t="s">
        <v>36</v>
      </c>
      <c r="D109" s="41" t="s">
        <v>37</v>
      </c>
      <c r="E109" s="41" t="s">
        <v>38</v>
      </c>
      <c r="F109" s="41" t="s">
        <v>110</v>
      </c>
      <c r="G109" s="42" t="s">
        <v>432</v>
      </c>
      <c r="H109" s="46" t="s">
        <v>26</v>
      </c>
      <c r="I109" s="65"/>
      <c r="J109" s="73"/>
      <c r="K109" s="66" t="s">
        <v>25</v>
      </c>
      <c r="L109" s="41">
        <v>3</v>
      </c>
      <c r="M109" s="41"/>
      <c r="N109" s="47">
        <v>300</v>
      </c>
      <c r="O109" s="43">
        <f t="shared" si="30"/>
        <v>5.3333333333333428</v>
      </c>
      <c r="P109" s="54">
        <v>182</v>
      </c>
      <c r="Q109" s="54">
        <v>191</v>
      </c>
      <c r="R109" s="54">
        <v>184</v>
      </c>
      <c r="S109" s="48">
        <f t="shared" si="35"/>
        <v>432</v>
      </c>
      <c r="T109" s="43">
        <f t="shared" si="36"/>
        <v>185.66666666666666</v>
      </c>
      <c r="U109" s="44">
        <f t="shared" si="23"/>
        <v>43</v>
      </c>
      <c r="V109" s="45">
        <v>382</v>
      </c>
      <c r="W109" s="45">
        <v>2600</v>
      </c>
      <c r="X109" s="45" t="s">
        <v>41</v>
      </c>
      <c r="Y109" s="45" t="s">
        <v>42</v>
      </c>
      <c r="Z109" s="1"/>
      <c r="AA109" s="1"/>
      <c r="AB109" s="50"/>
    </row>
    <row r="110" spans="1:62" s="49" customFormat="1" ht="16.5" customHeight="1" thickBot="1" x14ac:dyDescent="0.3">
      <c r="A110" s="84">
        <v>108</v>
      </c>
      <c r="B110" s="52" t="s">
        <v>35</v>
      </c>
      <c r="C110" s="41" t="s">
        <v>36</v>
      </c>
      <c r="D110" s="41" t="s">
        <v>37</v>
      </c>
      <c r="E110" s="41" t="s">
        <v>38</v>
      </c>
      <c r="F110" s="41" t="s">
        <v>110</v>
      </c>
      <c r="G110" s="42" t="s">
        <v>433</v>
      </c>
      <c r="H110" s="46" t="s">
        <v>23</v>
      </c>
      <c r="I110" s="65"/>
      <c r="J110" s="73"/>
      <c r="K110" s="66" t="s">
        <v>25</v>
      </c>
      <c r="L110" s="41">
        <v>3</v>
      </c>
      <c r="M110" s="41">
        <v>2</v>
      </c>
      <c r="N110" s="47">
        <v>300</v>
      </c>
      <c r="O110" s="43">
        <f t="shared" si="30"/>
        <v>4.6666666666666572</v>
      </c>
      <c r="P110" s="57">
        <v>165</v>
      </c>
      <c r="Q110" s="57">
        <v>171</v>
      </c>
      <c r="R110" s="57">
        <v>163</v>
      </c>
      <c r="S110" s="48">
        <f>1.44*N110</f>
        <v>432</v>
      </c>
      <c r="T110" s="43">
        <f>(R110+Q110+P110)/3</f>
        <v>166.33333333333334</v>
      </c>
      <c r="U110" s="44">
        <f t="shared" si="23"/>
        <v>39</v>
      </c>
      <c r="V110" s="45">
        <v>380</v>
      </c>
      <c r="W110" s="45">
        <v>2600</v>
      </c>
      <c r="X110" s="45" t="s">
        <v>41</v>
      </c>
      <c r="Y110" s="45" t="s">
        <v>42</v>
      </c>
      <c r="Z110" s="1">
        <f>Q108-0.5*R108-0.5*P108</f>
        <v>6.5</v>
      </c>
      <c r="AA110" s="1">
        <f>SQRT(3)/2*R108-SQRT(3)/2*P108</f>
        <v>-0.86602540378444814</v>
      </c>
      <c r="AB110" s="50"/>
      <c r="BJ110" s="51"/>
    </row>
    <row r="111" spans="1:62" s="49" customFormat="1" ht="16.5" customHeight="1" thickBot="1" x14ac:dyDescent="0.3">
      <c r="A111" s="84">
        <v>109</v>
      </c>
      <c r="B111" s="52" t="s">
        <v>35</v>
      </c>
      <c r="C111" s="41" t="s">
        <v>36</v>
      </c>
      <c r="D111" s="41" t="s">
        <v>37</v>
      </c>
      <c r="E111" s="41" t="s">
        <v>38</v>
      </c>
      <c r="F111" s="41" t="s">
        <v>110</v>
      </c>
      <c r="G111" s="42" t="s">
        <v>434</v>
      </c>
      <c r="H111" s="46" t="s">
        <v>26</v>
      </c>
      <c r="I111" s="64"/>
      <c r="J111" s="72"/>
      <c r="K111" s="66" t="s">
        <v>28</v>
      </c>
      <c r="L111" s="41">
        <v>3</v>
      </c>
      <c r="M111" s="41"/>
      <c r="N111" s="47">
        <v>500</v>
      </c>
      <c r="O111" s="43">
        <f t="shared" si="30"/>
        <v>8.3333333333333144</v>
      </c>
      <c r="P111" s="54">
        <v>339</v>
      </c>
      <c r="Q111" s="54">
        <v>333</v>
      </c>
      <c r="R111" s="54">
        <v>320</v>
      </c>
      <c r="S111" s="48">
        <f t="shared" ref="S111:S113" si="38">1.44*N111</f>
        <v>720</v>
      </c>
      <c r="T111" s="43">
        <f>(R111+Q111+P111)/3</f>
        <v>330.66666666666669</v>
      </c>
      <c r="U111" s="44">
        <f t="shared" si="23"/>
        <v>46</v>
      </c>
      <c r="V111" s="45">
        <v>382</v>
      </c>
      <c r="W111" s="45">
        <v>2600</v>
      </c>
      <c r="X111" s="45" t="s">
        <v>41</v>
      </c>
      <c r="Y111" s="45" t="s">
        <v>42</v>
      </c>
      <c r="Z111" s="1">
        <f>Q109-0.5*R109-0.5*P109</f>
        <v>8</v>
      </c>
      <c r="AA111" s="1">
        <f>SQRT(3)/2*R109-SQRT(3)/2*P109</f>
        <v>1.7320508075688679</v>
      </c>
      <c r="AB111" s="50"/>
    </row>
    <row r="112" spans="1:62" s="49" customFormat="1" ht="16.5" customHeight="1" thickBot="1" x14ac:dyDescent="0.3">
      <c r="A112" s="84">
        <v>110</v>
      </c>
      <c r="B112" s="52" t="s">
        <v>35</v>
      </c>
      <c r="C112" s="41" t="s">
        <v>36</v>
      </c>
      <c r="D112" s="41" t="s">
        <v>37</v>
      </c>
      <c r="E112" s="41" t="s">
        <v>38</v>
      </c>
      <c r="F112" s="41" t="s">
        <v>110</v>
      </c>
      <c r="G112" s="42" t="s">
        <v>437</v>
      </c>
      <c r="H112" s="46" t="s">
        <v>26</v>
      </c>
      <c r="I112" s="65"/>
      <c r="J112" s="73"/>
      <c r="K112" s="66" t="s">
        <v>25</v>
      </c>
      <c r="L112" s="41">
        <v>3</v>
      </c>
      <c r="M112" s="41"/>
      <c r="N112" s="47">
        <v>300</v>
      </c>
      <c r="O112" s="43">
        <f t="shared" si="30"/>
        <v>5</v>
      </c>
      <c r="P112" s="47">
        <v>196</v>
      </c>
      <c r="Q112" s="47">
        <v>192</v>
      </c>
      <c r="R112" s="47">
        <v>185</v>
      </c>
      <c r="S112" s="48">
        <f t="shared" si="38"/>
        <v>432</v>
      </c>
      <c r="T112" s="43">
        <f t="shared" ref="T112:T113" si="39">(R112+Q112+P112)/3</f>
        <v>191</v>
      </c>
      <c r="U112" s="44">
        <f t="shared" ref="U112" si="40">ROUND(((AVERAGE(P112,R112,Q112))/(N112*1.44))*100,0)</f>
        <v>44</v>
      </c>
      <c r="V112" s="45">
        <v>381</v>
      </c>
      <c r="W112" s="45">
        <v>2600</v>
      </c>
      <c r="X112" s="45" t="s">
        <v>41</v>
      </c>
      <c r="Y112" s="45" t="s">
        <v>42</v>
      </c>
      <c r="Z112" s="1">
        <f>Q110-0.5*R110-0.5*P110</f>
        <v>7</v>
      </c>
      <c r="AA112" s="1">
        <f>SQRT(3)/2*R110-SQRT(3)/2*P110</f>
        <v>-1.7320508075688963</v>
      </c>
      <c r="AB112" s="50"/>
    </row>
    <row r="113" spans="1:28" s="49" customFormat="1" ht="16.5" customHeight="1" thickBot="1" x14ac:dyDescent="0.3">
      <c r="A113" s="84">
        <v>111</v>
      </c>
      <c r="B113" s="52" t="s">
        <v>35</v>
      </c>
      <c r="C113" s="41" t="s">
        <v>36</v>
      </c>
      <c r="D113" s="41" t="s">
        <v>37</v>
      </c>
      <c r="E113" s="41" t="s">
        <v>38</v>
      </c>
      <c r="F113" s="41" t="s">
        <v>110</v>
      </c>
      <c r="G113" s="42" t="s">
        <v>435</v>
      </c>
      <c r="H113" s="46" t="s">
        <v>26</v>
      </c>
      <c r="I113" s="65"/>
      <c r="J113" s="73"/>
      <c r="K113" s="66" t="s">
        <v>25</v>
      </c>
      <c r="L113" s="41">
        <v>3</v>
      </c>
      <c r="M113" s="41"/>
      <c r="N113" s="47">
        <v>500</v>
      </c>
      <c r="O113" s="43">
        <f t="shared" si="30"/>
        <v>4.6666666666666856</v>
      </c>
      <c r="P113" s="54">
        <v>311</v>
      </c>
      <c r="Q113" s="54">
        <v>309</v>
      </c>
      <c r="R113" s="54">
        <v>317</v>
      </c>
      <c r="S113" s="48">
        <f t="shared" si="38"/>
        <v>720</v>
      </c>
      <c r="T113" s="43">
        <f t="shared" si="39"/>
        <v>312.33333333333331</v>
      </c>
      <c r="U113" s="44">
        <f t="shared" si="23"/>
        <v>43</v>
      </c>
      <c r="V113" s="45">
        <v>382</v>
      </c>
      <c r="W113" s="45">
        <v>2600</v>
      </c>
      <c r="X113" s="45" t="s">
        <v>41</v>
      </c>
      <c r="Y113" s="45" t="s">
        <v>42</v>
      </c>
      <c r="Z113" s="1">
        <f>Q111-0.5*R111-0.5*P111</f>
        <v>3.5</v>
      </c>
      <c r="AA113" s="1">
        <f>SQRT(3)/2*R111-SQRT(3)/2*P111</f>
        <v>-16.454482671904373</v>
      </c>
      <c r="AB113" s="50"/>
    </row>
    <row r="114" spans="1:28" s="49" customFormat="1" ht="16.5" customHeight="1" thickBot="1" x14ac:dyDescent="0.3">
      <c r="A114" s="98">
        <v>112</v>
      </c>
      <c r="B114" s="102" t="s">
        <v>35</v>
      </c>
      <c r="C114" s="103" t="s">
        <v>36</v>
      </c>
      <c r="D114" s="103" t="s">
        <v>37</v>
      </c>
      <c r="E114" s="103" t="s">
        <v>38</v>
      </c>
      <c r="F114" s="103" t="s">
        <v>110</v>
      </c>
      <c r="G114" s="99" t="s">
        <v>112</v>
      </c>
      <c r="H114" s="115" t="s">
        <v>23</v>
      </c>
      <c r="I114" s="121"/>
      <c r="J114" s="122"/>
      <c r="K114" s="116" t="s">
        <v>25</v>
      </c>
      <c r="L114" s="103">
        <v>3</v>
      </c>
      <c r="M114" s="103">
        <v>3</v>
      </c>
      <c r="N114" s="117">
        <v>500</v>
      </c>
      <c r="O114" s="118">
        <f t="shared" si="30"/>
        <v>5.3333333333333428</v>
      </c>
      <c r="P114" s="97">
        <v>235</v>
      </c>
      <c r="Q114" s="97">
        <v>223</v>
      </c>
      <c r="R114" s="97">
        <v>231</v>
      </c>
      <c r="S114" s="120">
        <f t="shared" ref="S114:S115" si="41">1.44*N114</f>
        <v>720</v>
      </c>
      <c r="T114" s="118">
        <f t="shared" ref="T114:T115" si="42">(R114+Q114+P114)/3</f>
        <v>229.66666666666666</v>
      </c>
      <c r="U114" s="100">
        <f t="shared" si="23"/>
        <v>32</v>
      </c>
      <c r="V114" s="104">
        <v>380</v>
      </c>
      <c r="W114" s="104">
        <v>2600</v>
      </c>
      <c r="X114" s="104" t="s">
        <v>41</v>
      </c>
      <c r="Y114" s="104" t="s">
        <v>42</v>
      </c>
      <c r="Z114" s="1"/>
      <c r="AA114" s="1"/>
      <c r="AB114" s="50"/>
    </row>
    <row r="115" spans="1:28" s="49" customFormat="1" ht="16.5" customHeight="1" thickBot="1" x14ac:dyDescent="0.3">
      <c r="A115" s="84">
        <v>113</v>
      </c>
      <c r="B115" s="52" t="s">
        <v>35</v>
      </c>
      <c r="C115" s="41" t="s">
        <v>36</v>
      </c>
      <c r="D115" s="41" t="s">
        <v>37</v>
      </c>
      <c r="E115" s="41" t="s">
        <v>38</v>
      </c>
      <c r="F115" s="41" t="s">
        <v>110</v>
      </c>
      <c r="G115" s="42" t="s">
        <v>577</v>
      </c>
      <c r="H115" s="46" t="s">
        <v>26</v>
      </c>
      <c r="I115" s="64"/>
      <c r="J115" s="72"/>
      <c r="K115" s="66" t="s">
        <v>28</v>
      </c>
      <c r="L115" s="41">
        <v>3</v>
      </c>
      <c r="M115" s="41"/>
      <c r="N115" s="47">
        <v>500</v>
      </c>
      <c r="O115" s="43">
        <f t="shared" si="30"/>
        <v>4.3333333333333144</v>
      </c>
      <c r="P115" s="47">
        <v>297</v>
      </c>
      <c r="Q115" s="47">
        <v>300</v>
      </c>
      <c r="R115" s="47">
        <v>305</v>
      </c>
      <c r="S115" s="48">
        <f t="shared" si="41"/>
        <v>720</v>
      </c>
      <c r="T115" s="43">
        <f t="shared" si="42"/>
        <v>300.66666666666669</v>
      </c>
      <c r="U115" s="44">
        <f t="shared" ref="U115:U123" si="43">ROUND(((AVERAGE(P115,R115,Q115))/(N115*1.44))*100,0)</f>
        <v>42</v>
      </c>
      <c r="V115" s="45">
        <v>382</v>
      </c>
      <c r="W115" s="45">
        <v>2600</v>
      </c>
      <c r="X115" s="45" t="s">
        <v>41</v>
      </c>
      <c r="Y115" s="45" t="s">
        <v>42</v>
      </c>
      <c r="Z115" s="1">
        <f>Q113-0.5*R113-0.5*P113</f>
        <v>-5</v>
      </c>
      <c r="AA115" s="1">
        <f>SQRT(3)/2*R113-SQRT(3)/2*P113</f>
        <v>5.196152422706632</v>
      </c>
      <c r="AB115" s="50"/>
    </row>
    <row r="116" spans="1:28" s="49" customFormat="1" ht="16.5" customHeight="1" thickBot="1" x14ac:dyDescent="0.3">
      <c r="A116" s="98">
        <v>114</v>
      </c>
      <c r="B116" s="102" t="s">
        <v>35</v>
      </c>
      <c r="C116" s="103" t="s">
        <v>36</v>
      </c>
      <c r="D116" s="103" t="s">
        <v>37</v>
      </c>
      <c r="E116" s="103" t="s">
        <v>38</v>
      </c>
      <c r="F116" s="103" t="s">
        <v>110</v>
      </c>
      <c r="G116" s="99" t="s">
        <v>114</v>
      </c>
      <c r="H116" s="115" t="s">
        <v>23</v>
      </c>
      <c r="I116" s="131" t="s">
        <v>593</v>
      </c>
      <c r="J116" s="122">
        <v>2010</v>
      </c>
      <c r="K116" s="116" t="s">
        <v>25</v>
      </c>
      <c r="L116" s="103">
        <v>3</v>
      </c>
      <c r="M116" s="103">
        <v>5</v>
      </c>
      <c r="N116" s="117">
        <v>500</v>
      </c>
      <c r="O116" s="118">
        <f t="shared" si="30"/>
        <v>6</v>
      </c>
      <c r="P116" s="117">
        <v>247</v>
      </c>
      <c r="Q116" s="117">
        <v>255</v>
      </c>
      <c r="R116" s="117">
        <v>245</v>
      </c>
      <c r="S116" s="120">
        <f t="shared" ref="S116:S121" si="44">1.44*N116</f>
        <v>720</v>
      </c>
      <c r="T116" s="118">
        <f>(R116+Q116+P116)/3</f>
        <v>249</v>
      </c>
      <c r="U116" s="100">
        <f t="shared" si="43"/>
        <v>35</v>
      </c>
      <c r="V116" s="104">
        <v>382</v>
      </c>
      <c r="W116" s="104">
        <v>2600</v>
      </c>
      <c r="X116" s="104" t="s">
        <v>41</v>
      </c>
      <c r="Y116" s="104" t="s">
        <v>42</v>
      </c>
      <c r="Z116" s="1">
        <f>Q114-0.5*R114-0.5*P114</f>
        <v>-10</v>
      </c>
      <c r="AA116" s="1">
        <f>SQRT(3)/2*R114-SQRT(3)/2*P114</f>
        <v>-3.4641016151377642</v>
      </c>
      <c r="AB116" s="50"/>
    </row>
    <row r="117" spans="1:28" s="49" customFormat="1" ht="16.5" customHeight="1" thickBot="1" x14ac:dyDescent="0.3">
      <c r="A117" s="98">
        <v>115</v>
      </c>
      <c r="B117" s="102" t="s">
        <v>35</v>
      </c>
      <c r="C117" s="103" t="s">
        <v>36</v>
      </c>
      <c r="D117" s="103" t="s">
        <v>37</v>
      </c>
      <c r="E117" s="103" t="s">
        <v>38</v>
      </c>
      <c r="F117" s="103" t="s">
        <v>110</v>
      </c>
      <c r="G117" s="99" t="s">
        <v>115</v>
      </c>
      <c r="H117" s="115" t="s">
        <v>23</v>
      </c>
      <c r="I117" s="131" t="s">
        <v>597</v>
      </c>
      <c r="J117" s="122">
        <v>1980</v>
      </c>
      <c r="K117" s="116" t="s">
        <v>25</v>
      </c>
      <c r="L117" s="103">
        <v>3</v>
      </c>
      <c r="M117" s="103">
        <v>2</v>
      </c>
      <c r="N117" s="117">
        <v>300</v>
      </c>
      <c r="O117" s="118">
        <f t="shared" si="30"/>
        <v>6.3333333333333428</v>
      </c>
      <c r="P117" s="117">
        <v>151</v>
      </c>
      <c r="Q117" s="117">
        <v>146</v>
      </c>
      <c r="R117" s="117">
        <v>158</v>
      </c>
      <c r="S117" s="120">
        <f t="shared" si="44"/>
        <v>432</v>
      </c>
      <c r="T117" s="118">
        <f>(R117+Q117+P117)/3</f>
        <v>151.66666666666666</v>
      </c>
      <c r="U117" s="100">
        <f t="shared" si="43"/>
        <v>35</v>
      </c>
      <c r="V117" s="104">
        <v>382</v>
      </c>
      <c r="W117" s="104">
        <v>2600</v>
      </c>
      <c r="X117" s="104" t="s">
        <v>41</v>
      </c>
      <c r="Y117" s="104" t="s">
        <v>42</v>
      </c>
      <c r="Z117" s="1"/>
      <c r="AA117" s="1"/>
      <c r="AB117" s="50"/>
    </row>
    <row r="118" spans="1:28" s="49" customFormat="1" ht="16.5" customHeight="1" thickBot="1" x14ac:dyDescent="0.3">
      <c r="A118" s="98">
        <v>116</v>
      </c>
      <c r="B118" s="102" t="s">
        <v>35</v>
      </c>
      <c r="C118" s="103" t="s">
        <v>36</v>
      </c>
      <c r="D118" s="103" t="s">
        <v>37</v>
      </c>
      <c r="E118" s="103" t="s">
        <v>38</v>
      </c>
      <c r="F118" s="103" t="s">
        <v>110</v>
      </c>
      <c r="G118" s="99" t="s">
        <v>113</v>
      </c>
      <c r="H118" s="115" t="s">
        <v>23</v>
      </c>
      <c r="I118" s="131"/>
      <c r="J118" s="122"/>
      <c r="K118" s="116" t="s">
        <v>25</v>
      </c>
      <c r="L118" s="103">
        <v>3</v>
      </c>
      <c r="M118" s="103">
        <v>3</v>
      </c>
      <c r="N118" s="117">
        <v>250</v>
      </c>
      <c r="O118" s="118">
        <f t="shared" si="30"/>
        <v>6.3333333333333428</v>
      </c>
      <c r="P118" s="97">
        <v>219</v>
      </c>
      <c r="Q118" s="97">
        <v>227</v>
      </c>
      <c r="R118" s="97">
        <v>216</v>
      </c>
      <c r="S118" s="120">
        <f t="shared" si="44"/>
        <v>360</v>
      </c>
      <c r="T118" s="118">
        <f>(R118+Q118+P118)/3</f>
        <v>220.66666666666666</v>
      </c>
      <c r="U118" s="100">
        <f t="shared" si="43"/>
        <v>61</v>
      </c>
      <c r="V118" s="104">
        <v>380</v>
      </c>
      <c r="W118" s="104">
        <v>2600</v>
      </c>
      <c r="X118" s="104" t="s">
        <v>41</v>
      </c>
      <c r="Y118" s="104" t="s">
        <v>42</v>
      </c>
      <c r="Z118" s="1">
        <f>Q118-0.5*R118-0.5*P118</f>
        <v>9.5</v>
      </c>
      <c r="AA118" s="1">
        <f>SQRT(3)/2*R118-SQRT(3)/2*P118</f>
        <v>-2.598076211353316</v>
      </c>
      <c r="AB118" s="50"/>
    </row>
    <row r="119" spans="1:28" s="49" customFormat="1" ht="16.5" customHeight="1" thickBot="1" x14ac:dyDescent="0.3">
      <c r="A119" s="84">
        <v>117</v>
      </c>
      <c r="B119" s="52" t="s">
        <v>35</v>
      </c>
      <c r="C119" s="41" t="s">
        <v>36</v>
      </c>
      <c r="D119" s="41" t="s">
        <v>37</v>
      </c>
      <c r="E119" s="41" t="s">
        <v>38</v>
      </c>
      <c r="F119" s="41" t="s">
        <v>110</v>
      </c>
      <c r="G119" s="42" t="s">
        <v>426</v>
      </c>
      <c r="H119" s="46" t="s">
        <v>26</v>
      </c>
      <c r="I119" s="63"/>
      <c r="J119" s="71"/>
      <c r="K119" s="66" t="s">
        <v>25</v>
      </c>
      <c r="L119" s="41">
        <v>3</v>
      </c>
      <c r="M119" s="41"/>
      <c r="N119" s="47">
        <v>500</v>
      </c>
      <c r="O119" s="43">
        <f t="shared" si="30"/>
        <v>12.333333333333314</v>
      </c>
      <c r="P119" s="47">
        <v>287</v>
      </c>
      <c r="Q119" s="47">
        <v>290</v>
      </c>
      <c r="R119" s="47">
        <v>307</v>
      </c>
      <c r="S119" s="48">
        <f t="shared" si="44"/>
        <v>720</v>
      </c>
      <c r="T119" s="43">
        <f>(R119+Q119+P119)/3</f>
        <v>294.66666666666669</v>
      </c>
      <c r="U119" s="44">
        <f t="shared" si="43"/>
        <v>41</v>
      </c>
      <c r="V119" s="45">
        <v>380</v>
      </c>
      <c r="W119" s="45">
        <v>2600</v>
      </c>
      <c r="X119" s="45" t="s">
        <v>41</v>
      </c>
      <c r="Y119" s="45" t="s">
        <v>42</v>
      </c>
      <c r="Z119" s="1"/>
      <c r="AA119" s="1"/>
      <c r="AB119" s="50"/>
    </row>
    <row r="120" spans="1:28" s="49" customFormat="1" ht="16.5" customHeight="1" thickBot="1" x14ac:dyDescent="0.3">
      <c r="A120" s="84">
        <v>118</v>
      </c>
      <c r="B120" s="52" t="s">
        <v>35</v>
      </c>
      <c r="C120" s="41" t="s">
        <v>36</v>
      </c>
      <c r="D120" s="41" t="s">
        <v>37</v>
      </c>
      <c r="E120" s="41" t="s">
        <v>38</v>
      </c>
      <c r="F120" s="41" t="s">
        <v>110</v>
      </c>
      <c r="G120" s="42" t="s">
        <v>101</v>
      </c>
      <c r="H120" s="46" t="s">
        <v>23</v>
      </c>
      <c r="I120" s="63"/>
      <c r="J120" s="71"/>
      <c r="K120" s="66" t="s">
        <v>25</v>
      </c>
      <c r="L120" s="41">
        <v>3</v>
      </c>
      <c r="M120" s="41">
        <v>1</v>
      </c>
      <c r="N120" s="47">
        <v>300</v>
      </c>
      <c r="O120" s="43">
        <f t="shared" si="30"/>
        <v>6.6666666666666572</v>
      </c>
      <c r="P120" s="47">
        <v>170</v>
      </c>
      <c r="Q120" s="47">
        <v>174</v>
      </c>
      <c r="R120" s="47">
        <v>182</v>
      </c>
      <c r="S120" s="48">
        <f t="shared" si="44"/>
        <v>432</v>
      </c>
      <c r="T120" s="43">
        <f>(R120+Q120+P120)/3</f>
        <v>175.33333333333334</v>
      </c>
      <c r="U120" s="44">
        <f t="shared" si="43"/>
        <v>41</v>
      </c>
      <c r="V120" s="45">
        <v>380</v>
      </c>
      <c r="W120" s="45">
        <v>2600</v>
      </c>
      <c r="X120" s="45" t="s">
        <v>41</v>
      </c>
      <c r="Y120" s="45" t="s">
        <v>42</v>
      </c>
      <c r="Z120" s="1">
        <f>Q116-0.5*R116-0.5*P116</f>
        <v>9</v>
      </c>
      <c r="AA120" s="1">
        <f>SQRT(3)/2*R116-SQRT(3)/2*P116</f>
        <v>-1.7320508075688679</v>
      </c>
      <c r="AB120" s="50"/>
    </row>
    <row r="121" spans="1:28" s="49" customFormat="1" ht="16.5" customHeight="1" thickBot="1" x14ac:dyDescent="0.3">
      <c r="A121" s="84">
        <v>119</v>
      </c>
      <c r="B121" s="52" t="s">
        <v>35</v>
      </c>
      <c r="C121" s="41" t="s">
        <v>36</v>
      </c>
      <c r="D121" s="41" t="s">
        <v>37</v>
      </c>
      <c r="E121" s="41" t="s">
        <v>38</v>
      </c>
      <c r="F121" s="41" t="s">
        <v>110</v>
      </c>
      <c r="G121" s="42" t="s">
        <v>583</v>
      </c>
      <c r="H121" s="46" t="s">
        <v>26</v>
      </c>
      <c r="I121" s="63"/>
      <c r="J121" s="71"/>
      <c r="K121" s="66" t="s">
        <v>25</v>
      </c>
      <c r="L121" s="41">
        <v>3</v>
      </c>
      <c r="M121" s="41"/>
      <c r="N121" s="47">
        <v>300</v>
      </c>
      <c r="O121" s="43">
        <f t="shared" si="30"/>
        <v>3.6666666666666572</v>
      </c>
      <c r="P121" s="47">
        <v>191</v>
      </c>
      <c r="Q121" s="47">
        <v>195</v>
      </c>
      <c r="R121" s="47">
        <v>188</v>
      </c>
      <c r="S121" s="48">
        <f t="shared" si="44"/>
        <v>432</v>
      </c>
      <c r="T121" s="43">
        <f t="shared" ref="T121:T122" si="45">(R121+Q121+P121)/3</f>
        <v>191.33333333333334</v>
      </c>
      <c r="U121" s="44">
        <f t="shared" si="43"/>
        <v>44</v>
      </c>
      <c r="V121" s="45">
        <v>380</v>
      </c>
      <c r="W121" s="45">
        <v>2600</v>
      </c>
      <c r="X121" s="45" t="s">
        <v>41</v>
      </c>
      <c r="Y121" s="45" t="s">
        <v>42</v>
      </c>
      <c r="Z121" s="1"/>
      <c r="AA121" s="1"/>
      <c r="AB121" s="50"/>
    </row>
    <row r="122" spans="1:28" s="49" customFormat="1" ht="16.5" customHeight="1" thickBot="1" x14ac:dyDescent="0.3">
      <c r="A122" s="84">
        <v>120</v>
      </c>
      <c r="B122" s="52" t="s">
        <v>35</v>
      </c>
      <c r="C122" s="41" t="s">
        <v>36</v>
      </c>
      <c r="D122" s="41" t="s">
        <v>37</v>
      </c>
      <c r="E122" s="41" t="s">
        <v>38</v>
      </c>
      <c r="F122" s="41" t="s">
        <v>110</v>
      </c>
      <c r="G122" s="42" t="s">
        <v>436</v>
      </c>
      <c r="H122" s="46" t="s">
        <v>26</v>
      </c>
      <c r="I122" s="65"/>
      <c r="J122" s="73"/>
      <c r="K122" s="66" t="s">
        <v>25</v>
      </c>
      <c r="L122" s="41">
        <v>3</v>
      </c>
      <c r="M122" s="41"/>
      <c r="N122" s="47">
        <v>500</v>
      </c>
      <c r="O122" s="43">
        <f t="shared" si="30"/>
        <v>8.3333333333333144</v>
      </c>
      <c r="P122" s="47">
        <v>302</v>
      </c>
      <c r="Q122" s="47">
        <v>311</v>
      </c>
      <c r="R122" s="47">
        <v>295</v>
      </c>
      <c r="S122" s="48">
        <f t="shared" ref="S122:S127" si="46">1.44*N122</f>
        <v>720</v>
      </c>
      <c r="T122" s="43">
        <f t="shared" si="45"/>
        <v>302.66666666666669</v>
      </c>
      <c r="U122" s="44">
        <f t="shared" si="43"/>
        <v>42</v>
      </c>
      <c r="V122" s="45">
        <v>382</v>
      </c>
      <c r="W122" s="45">
        <v>2600</v>
      </c>
      <c r="X122" s="45" t="s">
        <v>41</v>
      </c>
      <c r="Y122" s="45" t="s">
        <v>42</v>
      </c>
      <c r="Z122" s="1">
        <f>Q117-0.5*R117-0.5*P117</f>
        <v>-8.5</v>
      </c>
      <c r="AA122" s="1">
        <f>SQRT(3)/2*R117-SQRT(3)/2*P117</f>
        <v>6.0621778264910802</v>
      </c>
      <c r="AB122" s="50"/>
    </row>
    <row r="123" spans="1:28" s="49" customFormat="1" ht="16.5" customHeight="1" thickBot="1" x14ac:dyDescent="0.3">
      <c r="A123" s="98">
        <v>121</v>
      </c>
      <c r="B123" s="102" t="s">
        <v>35</v>
      </c>
      <c r="C123" s="103" t="s">
        <v>36</v>
      </c>
      <c r="D123" s="103" t="s">
        <v>37</v>
      </c>
      <c r="E123" s="103" t="s">
        <v>38</v>
      </c>
      <c r="F123" s="103" t="s">
        <v>110</v>
      </c>
      <c r="G123" s="99" t="s">
        <v>102</v>
      </c>
      <c r="H123" s="115" t="s">
        <v>23</v>
      </c>
      <c r="I123" s="107"/>
      <c r="J123" s="108"/>
      <c r="K123" s="116" t="s">
        <v>28</v>
      </c>
      <c r="L123" s="103">
        <v>3</v>
      </c>
      <c r="M123" s="103">
        <v>3</v>
      </c>
      <c r="N123" s="117">
        <v>1000</v>
      </c>
      <c r="O123" s="118">
        <f t="shared" si="30"/>
        <v>7</v>
      </c>
      <c r="P123" s="119">
        <v>487</v>
      </c>
      <c r="Q123" s="119">
        <v>495</v>
      </c>
      <c r="R123" s="119">
        <v>482</v>
      </c>
      <c r="S123" s="120">
        <f t="shared" si="46"/>
        <v>1440</v>
      </c>
      <c r="T123" s="118">
        <f>(R123+Q123+P123)/3</f>
        <v>488</v>
      </c>
      <c r="U123" s="100">
        <f t="shared" si="43"/>
        <v>34</v>
      </c>
      <c r="V123" s="104">
        <v>380</v>
      </c>
      <c r="W123" s="104">
        <v>2600</v>
      </c>
      <c r="X123" s="104" t="s">
        <v>41</v>
      </c>
      <c r="Y123" s="104" t="s">
        <v>42</v>
      </c>
      <c r="Z123" s="1">
        <f>Q122-0.5*R122-0.5*P122</f>
        <v>12.5</v>
      </c>
      <c r="AA123" s="1">
        <f>SQRT(3)/2*R122-SQRT(3)/2*P122</f>
        <v>-6.0621778264910517</v>
      </c>
    </row>
    <row r="124" spans="1:28" s="49" customFormat="1" ht="16.5" customHeight="1" thickBot="1" x14ac:dyDescent="0.25">
      <c r="A124" s="98">
        <v>122</v>
      </c>
      <c r="B124" s="102" t="s">
        <v>35</v>
      </c>
      <c r="C124" s="103" t="s">
        <v>36</v>
      </c>
      <c r="D124" s="103" t="s">
        <v>37</v>
      </c>
      <c r="E124" s="103" t="s">
        <v>38</v>
      </c>
      <c r="F124" s="103" t="s">
        <v>438</v>
      </c>
      <c r="G124" s="99" t="s">
        <v>438</v>
      </c>
      <c r="H124" s="115" t="s">
        <v>26</v>
      </c>
      <c r="I124" s="107"/>
      <c r="J124" s="108"/>
      <c r="K124" s="116" t="s">
        <v>28</v>
      </c>
      <c r="L124" s="103">
        <v>3</v>
      </c>
      <c r="M124" s="103"/>
      <c r="N124" s="117">
        <v>1500</v>
      </c>
      <c r="O124" s="118">
        <f t="shared" si="30"/>
        <v>3.3333333333333712</v>
      </c>
      <c r="P124" s="117">
        <v>917</v>
      </c>
      <c r="Q124" s="117">
        <v>926</v>
      </c>
      <c r="R124" s="117">
        <v>925</v>
      </c>
      <c r="S124" s="120">
        <f t="shared" si="46"/>
        <v>2160</v>
      </c>
      <c r="T124" s="118">
        <f t="shared" ref="T124:T127" si="47">(R124+Q124+P124)/3</f>
        <v>922.66666666666663</v>
      </c>
      <c r="U124" s="100">
        <f t="shared" si="23"/>
        <v>43</v>
      </c>
      <c r="V124" s="104">
        <v>382</v>
      </c>
      <c r="W124" s="104">
        <v>2650</v>
      </c>
      <c r="X124" s="104" t="s">
        <v>41</v>
      </c>
      <c r="Y124" s="104" t="s">
        <v>42</v>
      </c>
      <c r="Z124" s="1">
        <f t="shared" ref="Z124:Z131" si="48">Q124-0.5*R124-0.5*P124</f>
        <v>5</v>
      </c>
      <c r="AA124" s="1">
        <f t="shared" ref="AA124:AA131" si="49">SQRT(3)/2*R124-SQRT(3)/2*P124</f>
        <v>6.9282032302755852</v>
      </c>
    </row>
    <row r="125" spans="1:28" s="49" customFormat="1" ht="16.5" customHeight="1" thickBot="1" x14ac:dyDescent="0.25">
      <c r="A125" s="98">
        <v>123</v>
      </c>
      <c r="B125" s="102" t="s">
        <v>35</v>
      </c>
      <c r="C125" s="103" t="s">
        <v>36</v>
      </c>
      <c r="D125" s="103" t="s">
        <v>37</v>
      </c>
      <c r="E125" s="103" t="s">
        <v>38</v>
      </c>
      <c r="F125" s="103" t="s">
        <v>439</v>
      </c>
      <c r="G125" s="99" t="s">
        <v>439</v>
      </c>
      <c r="H125" s="115" t="s">
        <v>26</v>
      </c>
      <c r="I125" s="107"/>
      <c r="J125" s="108"/>
      <c r="K125" s="116" t="s">
        <v>28</v>
      </c>
      <c r="L125" s="103">
        <v>3</v>
      </c>
      <c r="M125" s="103"/>
      <c r="N125" s="117">
        <v>1500</v>
      </c>
      <c r="O125" s="118">
        <f t="shared" si="30"/>
        <v>7.6666666666666288</v>
      </c>
      <c r="P125" s="117">
        <v>920</v>
      </c>
      <c r="Q125" s="117">
        <v>925</v>
      </c>
      <c r="R125" s="117">
        <v>934</v>
      </c>
      <c r="S125" s="120">
        <f t="shared" si="46"/>
        <v>2160</v>
      </c>
      <c r="T125" s="118">
        <f t="shared" si="47"/>
        <v>926.33333333333337</v>
      </c>
      <c r="U125" s="100">
        <f t="shared" si="23"/>
        <v>43</v>
      </c>
      <c r="V125" s="104">
        <v>382</v>
      </c>
      <c r="W125" s="104">
        <v>2525</v>
      </c>
      <c r="X125" s="104" t="s">
        <v>56</v>
      </c>
      <c r="Y125" s="104" t="s">
        <v>42</v>
      </c>
      <c r="Z125" s="1">
        <f t="shared" si="48"/>
        <v>-2</v>
      </c>
      <c r="AA125" s="1">
        <f t="shared" si="49"/>
        <v>12.124355652982103</v>
      </c>
    </row>
    <row r="126" spans="1:28" s="49" customFormat="1" ht="16.5" customHeight="1" thickBot="1" x14ac:dyDescent="0.25">
      <c r="A126" s="84">
        <v>124</v>
      </c>
      <c r="B126" s="52" t="s">
        <v>35</v>
      </c>
      <c r="C126" s="41" t="s">
        <v>36</v>
      </c>
      <c r="D126" s="41" t="s">
        <v>37</v>
      </c>
      <c r="E126" s="41" t="s">
        <v>38</v>
      </c>
      <c r="F126" s="41" t="s">
        <v>440</v>
      </c>
      <c r="G126" s="42" t="s">
        <v>440</v>
      </c>
      <c r="H126" s="46" t="s">
        <v>26</v>
      </c>
      <c r="I126" s="62"/>
      <c r="J126" s="70"/>
      <c r="K126" s="66" t="s">
        <v>28</v>
      </c>
      <c r="L126" s="41">
        <v>3</v>
      </c>
      <c r="M126" s="41"/>
      <c r="N126" s="47">
        <v>1000</v>
      </c>
      <c r="O126" s="43">
        <f t="shared" si="30"/>
        <v>5.6666666666666288</v>
      </c>
      <c r="P126" s="47">
        <v>625</v>
      </c>
      <c r="Q126" s="47">
        <v>630</v>
      </c>
      <c r="R126" s="47">
        <v>618</v>
      </c>
      <c r="S126" s="48">
        <f t="shared" si="46"/>
        <v>1440</v>
      </c>
      <c r="T126" s="43">
        <f t="shared" si="47"/>
        <v>624.33333333333337</v>
      </c>
      <c r="U126" s="44">
        <f t="shared" si="23"/>
        <v>43</v>
      </c>
      <c r="V126" s="45">
        <v>381</v>
      </c>
      <c r="W126" s="45">
        <v>2600</v>
      </c>
      <c r="X126" s="45" t="s">
        <v>41</v>
      </c>
      <c r="Y126" s="45" t="s">
        <v>42</v>
      </c>
      <c r="Z126" s="1">
        <f t="shared" si="48"/>
        <v>8.5</v>
      </c>
      <c r="AA126" s="1">
        <f t="shared" si="49"/>
        <v>-6.0621778264910517</v>
      </c>
    </row>
    <row r="127" spans="1:28" s="49" customFormat="1" ht="16.5" customHeight="1" thickBot="1" x14ac:dyDescent="0.25">
      <c r="A127" s="84">
        <v>125</v>
      </c>
      <c r="B127" s="52" t="s">
        <v>35</v>
      </c>
      <c r="C127" s="41" t="s">
        <v>36</v>
      </c>
      <c r="D127" s="41" t="s">
        <v>37</v>
      </c>
      <c r="E127" s="41" t="s">
        <v>38</v>
      </c>
      <c r="F127" s="41" t="s">
        <v>441</v>
      </c>
      <c r="G127" s="42" t="s">
        <v>441</v>
      </c>
      <c r="H127" s="46" t="s">
        <v>26</v>
      </c>
      <c r="I127" s="62"/>
      <c r="J127" s="70"/>
      <c r="K127" s="66" t="s">
        <v>28</v>
      </c>
      <c r="L127" s="41">
        <v>3</v>
      </c>
      <c r="M127" s="41"/>
      <c r="N127" s="47">
        <v>1000</v>
      </c>
      <c r="O127" s="43">
        <f t="shared" si="30"/>
        <v>8.3333333333333712</v>
      </c>
      <c r="P127" s="47">
        <v>610</v>
      </c>
      <c r="Q127" s="47">
        <v>600</v>
      </c>
      <c r="R127" s="47">
        <v>595</v>
      </c>
      <c r="S127" s="48">
        <f t="shared" si="46"/>
        <v>1440</v>
      </c>
      <c r="T127" s="43">
        <f t="shared" si="47"/>
        <v>601.66666666666663</v>
      </c>
      <c r="U127" s="44">
        <f t="shared" si="23"/>
        <v>42</v>
      </c>
      <c r="V127" s="45">
        <v>382</v>
      </c>
      <c r="W127" s="45">
        <v>2525</v>
      </c>
      <c r="X127" s="45" t="s">
        <v>56</v>
      </c>
      <c r="Y127" s="45" t="s">
        <v>42</v>
      </c>
      <c r="Z127" s="1">
        <f t="shared" si="48"/>
        <v>-2.5</v>
      </c>
      <c r="AA127" s="1">
        <f t="shared" si="49"/>
        <v>-12.990381056766523</v>
      </c>
    </row>
    <row r="128" spans="1:28" s="49" customFormat="1" ht="16.5" customHeight="1" thickBot="1" x14ac:dyDescent="0.3">
      <c r="A128" s="84">
        <v>126</v>
      </c>
      <c r="B128" s="52" t="s">
        <v>35</v>
      </c>
      <c r="C128" s="41" t="s">
        <v>36</v>
      </c>
      <c r="D128" s="41" t="s">
        <v>37</v>
      </c>
      <c r="E128" s="41" t="s">
        <v>116</v>
      </c>
      <c r="F128" s="41" t="s">
        <v>117</v>
      </c>
      <c r="G128" s="42" t="s">
        <v>118</v>
      </c>
      <c r="H128" s="46" t="s">
        <v>23</v>
      </c>
      <c r="I128" s="62" t="s">
        <v>573</v>
      </c>
      <c r="J128" s="70">
        <v>2015</v>
      </c>
      <c r="K128" s="66" t="s">
        <v>28</v>
      </c>
      <c r="L128" s="41">
        <v>3</v>
      </c>
      <c r="M128" s="41"/>
      <c r="N128" s="47">
        <v>500</v>
      </c>
      <c r="O128" s="43">
        <f t="shared" si="30"/>
        <v>4.3333333333333428</v>
      </c>
      <c r="P128" s="85">
        <v>231</v>
      </c>
      <c r="Q128" s="85">
        <v>236</v>
      </c>
      <c r="R128" s="85">
        <v>240</v>
      </c>
      <c r="S128" s="86">
        <f>1.44*N128</f>
        <v>720</v>
      </c>
      <c r="T128" s="87">
        <f>(R128+Q128+P128)/3</f>
        <v>235.66666666666666</v>
      </c>
      <c r="U128" s="44">
        <f t="shared" si="23"/>
        <v>33</v>
      </c>
      <c r="V128" s="45">
        <v>381</v>
      </c>
      <c r="W128" s="45">
        <v>1599</v>
      </c>
      <c r="X128" s="45" t="s">
        <v>41</v>
      </c>
      <c r="Y128" s="45" t="s">
        <v>42</v>
      </c>
      <c r="Z128" s="1">
        <f t="shared" si="48"/>
        <v>0.5</v>
      </c>
      <c r="AA128" s="1">
        <f t="shared" si="49"/>
        <v>7.794228634059948</v>
      </c>
    </row>
    <row r="129" spans="1:252" s="49" customFormat="1" ht="16.5" customHeight="1" thickBot="1" x14ac:dyDescent="0.25">
      <c r="A129" s="84">
        <v>127</v>
      </c>
      <c r="B129" s="52" t="s">
        <v>35</v>
      </c>
      <c r="C129" s="41" t="s">
        <v>36</v>
      </c>
      <c r="D129" s="41" t="s">
        <v>37</v>
      </c>
      <c r="E129" s="41" t="s">
        <v>116</v>
      </c>
      <c r="F129" s="41" t="s">
        <v>117</v>
      </c>
      <c r="G129" s="42" t="s">
        <v>119</v>
      </c>
      <c r="H129" s="46" t="s">
        <v>23</v>
      </c>
      <c r="I129" s="62"/>
      <c r="J129" s="70"/>
      <c r="K129" s="66" t="s">
        <v>28</v>
      </c>
      <c r="L129" s="41">
        <v>3</v>
      </c>
      <c r="M129" s="41"/>
      <c r="N129" s="47">
        <v>1000</v>
      </c>
      <c r="O129" s="43">
        <f t="shared" si="30"/>
        <v>5</v>
      </c>
      <c r="P129" s="47">
        <v>445</v>
      </c>
      <c r="Q129" s="47">
        <v>433</v>
      </c>
      <c r="R129" s="47">
        <v>442</v>
      </c>
      <c r="S129" s="86">
        <f t="shared" ref="S129:S130" si="50">1.44*N129</f>
        <v>1440</v>
      </c>
      <c r="T129" s="87">
        <f t="shared" ref="T129:T130" si="51">(R129+Q129+P129)/3</f>
        <v>440</v>
      </c>
      <c r="U129" s="88">
        <f t="shared" si="23"/>
        <v>31</v>
      </c>
      <c r="V129" s="45">
        <v>383</v>
      </c>
      <c r="W129" s="45">
        <v>1599</v>
      </c>
      <c r="X129" s="45" t="s">
        <v>41</v>
      </c>
      <c r="Y129" s="45" t="s">
        <v>42</v>
      </c>
      <c r="Z129" s="1">
        <f t="shared" si="48"/>
        <v>-10.5</v>
      </c>
      <c r="AA129" s="1">
        <f t="shared" si="49"/>
        <v>-2.598076211353316</v>
      </c>
    </row>
    <row r="130" spans="1:252" s="95" customFormat="1" ht="16.5" customHeight="1" thickBot="1" x14ac:dyDescent="0.4">
      <c r="A130" s="84">
        <v>128</v>
      </c>
      <c r="B130" s="52" t="s">
        <v>35</v>
      </c>
      <c r="C130" s="41" t="s">
        <v>36</v>
      </c>
      <c r="D130" s="41" t="s">
        <v>37</v>
      </c>
      <c r="E130" s="41" t="s">
        <v>116</v>
      </c>
      <c r="F130" s="41" t="s">
        <v>117</v>
      </c>
      <c r="G130" s="42" t="s">
        <v>121</v>
      </c>
      <c r="H130" s="46" t="s">
        <v>23</v>
      </c>
      <c r="I130" s="62"/>
      <c r="J130" s="70"/>
      <c r="K130" s="66" t="s">
        <v>28</v>
      </c>
      <c r="L130" s="41">
        <v>3</v>
      </c>
      <c r="M130" s="41"/>
      <c r="N130" s="47">
        <v>1000</v>
      </c>
      <c r="O130" s="43">
        <f t="shared" si="30"/>
        <v>5.3333333333333144</v>
      </c>
      <c r="P130" s="89">
        <v>444</v>
      </c>
      <c r="Q130" s="89">
        <v>448</v>
      </c>
      <c r="R130" s="89">
        <v>454</v>
      </c>
      <c r="S130" s="48">
        <f t="shared" si="50"/>
        <v>1440</v>
      </c>
      <c r="T130" s="43">
        <f t="shared" si="51"/>
        <v>448.66666666666669</v>
      </c>
      <c r="U130" s="88">
        <f t="shared" si="23"/>
        <v>31</v>
      </c>
      <c r="V130" s="45">
        <v>383</v>
      </c>
      <c r="W130" s="45">
        <v>1599</v>
      </c>
      <c r="X130" s="45" t="s">
        <v>41</v>
      </c>
      <c r="Y130" s="45" t="s">
        <v>42</v>
      </c>
      <c r="Z130" s="1">
        <f t="shared" si="48"/>
        <v>-1</v>
      </c>
      <c r="AA130" s="1">
        <f t="shared" si="49"/>
        <v>8.6602540378444246</v>
      </c>
      <c r="AB130" s="49"/>
      <c r="AC130" s="49"/>
      <c r="AD130" s="49"/>
      <c r="AE130" s="49"/>
      <c r="AF130" s="49"/>
      <c r="AG130" s="49"/>
      <c r="AH130" s="49"/>
      <c r="AI130" s="49"/>
      <c r="AJ130" s="49"/>
      <c r="AK130" s="49"/>
      <c r="AL130" s="49"/>
      <c r="AM130" s="49"/>
      <c r="AN130" s="49"/>
      <c r="AO130" s="49"/>
      <c r="AP130" s="49"/>
      <c r="AQ130" s="49"/>
      <c r="AR130" s="49"/>
      <c r="AS130" s="49"/>
      <c r="AT130" s="49"/>
      <c r="AU130" s="49"/>
      <c r="AV130" s="49"/>
      <c r="AW130" s="49"/>
      <c r="AX130" s="49"/>
      <c r="AY130" s="49"/>
      <c r="AZ130" s="49"/>
      <c r="BA130" s="49"/>
      <c r="BB130" s="49"/>
      <c r="BC130" s="49"/>
      <c r="BD130" s="49"/>
      <c r="BE130" s="49"/>
      <c r="BF130" s="49"/>
      <c r="BG130" s="49"/>
      <c r="BH130" s="49"/>
      <c r="BI130" s="49"/>
      <c r="BJ130" s="49"/>
      <c r="BK130" s="49"/>
      <c r="BL130" s="49"/>
      <c r="BM130" s="49"/>
      <c r="BN130" s="49"/>
      <c r="BO130" s="49"/>
      <c r="BP130" s="49"/>
      <c r="BQ130" s="49"/>
      <c r="BR130" s="49"/>
      <c r="BS130" s="49"/>
      <c r="BT130" s="49"/>
      <c r="BU130" s="49"/>
      <c r="BV130" s="49"/>
      <c r="BW130" s="49"/>
      <c r="BX130" s="49"/>
      <c r="BY130" s="49"/>
      <c r="BZ130" s="49"/>
      <c r="CA130" s="49"/>
      <c r="CB130" s="49"/>
      <c r="CC130" s="49"/>
      <c r="CD130" s="49"/>
      <c r="CE130" s="49"/>
      <c r="CF130" s="49"/>
      <c r="CG130" s="49"/>
      <c r="CH130" s="49"/>
      <c r="CI130" s="49"/>
      <c r="CJ130" s="49"/>
      <c r="CK130" s="49"/>
      <c r="CL130" s="49"/>
      <c r="CM130" s="49"/>
      <c r="CN130" s="49"/>
      <c r="CO130" s="49"/>
      <c r="CP130" s="49"/>
      <c r="CQ130" s="49"/>
      <c r="CR130" s="49"/>
      <c r="CS130" s="49"/>
      <c r="CT130" s="49"/>
      <c r="CU130" s="49"/>
      <c r="CV130" s="49"/>
      <c r="CW130" s="49"/>
      <c r="CX130" s="49"/>
      <c r="CY130" s="49"/>
      <c r="CZ130" s="49"/>
      <c r="DA130" s="49"/>
      <c r="DB130" s="49"/>
      <c r="DC130" s="49"/>
      <c r="DD130" s="49"/>
      <c r="DE130" s="49"/>
      <c r="DF130" s="49"/>
      <c r="DG130" s="49"/>
      <c r="DH130" s="49"/>
      <c r="DI130" s="49"/>
      <c r="DJ130" s="49"/>
      <c r="DK130" s="49"/>
      <c r="DL130" s="49"/>
      <c r="DM130" s="49"/>
      <c r="DN130" s="49"/>
      <c r="DO130" s="49"/>
      <c r="DP130" s="49"/>
      <c r="DQ130" s="49"/>
      <c r="DR130" s="49"/>
      <c r="DS130" s="49"/>
      <c r="DT130" s="49"/>
      <c r="DU130" s="49"/>
      <c r="DV130" s="49"/>
      <c r="DW130" s="49"/>
      <c r="DX130" s="49"/>
      <c r="DY130" s="49"/>
      <c r="DZ130" s="49"/>
      <c r="EA130" s="49"/>
      <c r="EB130" s="49"/>
      <c r="EC130" s="49"/>
      <c r="ED130" s="49"/>
      <c r="EE130" s="49"/>
      <c r="EF130" s="49"/>
      <c r="EG130" s="49"/>
      <c r="EH130" s="49"/>
      <c r="EI130" s="49"/>
      <c r="EJ130" s="49"/>
      <c r="EK130" s="49"/>
      <c r="EL130" s="49"/>
      <c r="EM130" s="49"/>
      <c r="EN130" s="49"/>
      <c r="EO130" s="49"/>
      <c r="EP130" s="49"/>
      <c r="EQ130" s="49"/>
      <c r="ER130" s="49"/>
      <c r="ES130" s="49"/>
      <c r="ET130" s="49"/>
      <c r="EU130" s="49"/>
      <c r="EV130" s="49"/>
      <c r="EW130" s="49"/>
      <c r="EX130" s="49"/>
      <c r="EY130" s="49"/>
      <c r="EZ130" s="49"/>
      <c r="FA130" s="49"/>
      <c r="FB130" s="49"/>
      <c r="FC130" s="49"/>
      <c r="FD130" s="49"/>
      <c r="FE130" s="49"/>
      <c r="FF130" s="49"/>
      <c r="FG130" s="49"/>
      <c r="FH130" s="49"/>
      <c r="FI130" s="49"/>
      <c r="FJ130" s="49"/>
      <c r="FK130" s="49"/>
      <c r="FL130" s="49"/>
      <c r="FM130" s="49"/>
      <c r="FN130" s="49"/>
      <c r="FO130" s="49"/>
      <c r="FP130" s="49"/>
      <c r="FQ130" s="49"/>
      <c r="FR130" s="49"/>
      <c r="FS130" s="49"/>
      <c r="FT130" s="49"/>
      <c r="FU130" s="49"/>
      <c r="FV130" s="49"/>
      <c r="FW130" s="49"/>
      <c r="FX130" s="49"/>
      <c r="FY130" s="49"/>
      <c r="FZ130" s="49"/>
      <c r="GA130" s="49"/>
      <c r="GB130" s="49"/>
      <c r="GC130" s="49"/>
      <c r="GD130" s="49"/>
      <c r="GE130" s="49"/>
      <c r="GF130" s="49"/>
      <c r="GG130" s="49"/>
      <c r="GH130" s="49"/>
      <c r="GI130" s="49"/>
      <c r="GJ130" s="49"/>
      <c r="GK130" s="49"/>
      <c r="GL130" s="49"/>
      <c r="GM130" s="49"/>
      <c r="GN130" s="49"/>
      <c r="GO130" s="49"/>
      <c r="GP130" s="49"/>
      <c r="GQ130" s="49"/>
      <c r="GR130" s="49"/>
      <c r="GS130" s="49"/>
      <c r="GT130" s="49"/>
      <c r="GU130" s="49"/>
      <c r="GV130" s="49"/>
      <c r="GW130" s="49"/>
      <c r="GX130" s="49"/>
      <c r="GY130" s="49"/>
      <c r="GZ130" s="49"/>
      <c r="HA130" s="49"/>
      <c r="HB130" s="49"/>
      <c r="HC130" s="49"/>
      <c r="HD130" s="49"/>
      <c r="HE130" s="49"/>
      <c r="HF130" s="49"/>
      <c r="HG130" s="49"/>
      <c r="HH130" s="49"/>
      <c r="HI130" s="49"/>
      <c r="HJ130" s="49"/>
      <c r="HK130" s="49"/>
      <c r="HL130" s="49"/>
      <c r="HM130" s="49"/>
      <c r="HN130" s="49"/>
      <c r="HO130" s="49"/>
      <c r="HP130" s="49"/>
      <c r="HQ130" s="49"/>
      <c r="HR130" s="49"/>
      <c r="HS130" s="49"/>
      <c r="HT130" s="49"/>
      <c r="HU130" s="49"/>
      <c r="HV130" s="49"/>
      <c r="HW130" s="49"/>
      <c r="HX130" s="49"/>
      <c r="HY130" s="49"/>
      <c r="HZ130" s="49"/>
      <c r="IA130" s="49"/>
      <c r="IB130" s="49"/>
      <c r="IC130" s="49"/>
      <c r="ID130" s="49"/>
      <c r="IE130" s="49"/>
      <c r="IF130" s="49"/>
      <c r="IG130" s="49"/>
      <c r="IH130" s="49"/>
      <c r="II130" s="49"/>
      <c r="IJ130" s="49"/>
      <c r="IK130" s="49"/>
      <c r="IL130" s="49"/>
      <c r="IM130" s="49"/>
      <c r="IN130" s="49"/>
      <c r="IO130" s="49"/>
      <c r="IP130" s="49"/>
      <c r="IQ130" s="49"/>
      <c r="IR130" s="49"/>
    </row>
    <row r="131" spans="1:252" s="96" customFormat="1" ht="17.25" customHeight="1" thickBot="1" x14ac:dyDescent="0.25">
      <c r="A131" s="98">
        <v>129</v>
      </c>
      <c r="B131" s="102" t="s">
        <v>35</v>
      </c>
      <c r="C131" s="103" t="s">
        <v>36</v>
      </c>
      <c r="D131" s="103" t="s">
        <v>37</v>
      </c>
      <c r="E131" s="103" t="s">
        <v>116</v>
      </c>
      <c r="F131" s="103" t="s">
        <v>122</v>
      </c>
      <c r="G131" s="99" t="s">
        <v>123</v>
      </c>
      <c r="H131" s="115" t="s">
        <v>23</v>
      </c>
      <c r="I131" s="121" t="s">
        <v>591</v>
      </c>
      <c r="J131" s="122">
        <v>2018</v>
      </c>
      <c r="K131" s="116" t="s">
        <v>25</v>
      </c>
      <c r="L131" s="103">
        <v>3</v>
      </c>
      <c r="M131" s="103">
        <v>4</v>
      </c>
      <c r="N131" s="117">
        <v>1000</v>
      </c>
      <c r="O131" s="132">
        <f>MAX(P131:R131)-AVERAGE(P131:R131)</f>
        <v>4.6666666666666288</v>
      </c>
      <c r="P131" s="133">
        <v>791</v>
      </c>
      <c r="Q131" s="133">
        <v>787</v>
      </c>
      <c r="R131" s="133">
        <v>796</v>
      </c>
      <c r="S131" s="134">
        <f>1.44*N131</f>
        <v>1440</v>
      </c>
      <c r="T131" s="132">
        <f>(R131+Q131+P131)/3</f>
        <v>791.33333333333337</v>
      </c>
      <c r="U131" s="100">
        <f t="shared" si="23"/>
        <v>55</v>
      </c>
      <c r="V131" s="104">
        <v>381</v>
      </c>
      <c r="W131" s="104">
        <v>1599</v>
      </c>
      <c r="X131" s="104" t="s">
        <v>41</v>
      </c>
      <c r="Y131" s="104" t="s">
        <v>42</v>
      </c>
      <c r="Z131" s="1">
        <f t="shared" si="48"/>
        <v>-6.5</v>
      </c>
      <c r="AA131" s="1">
        <f t="shared" si="49"/>
        <v>4.3301270189222123</v>
      </c>
    </row>
    <row r="132" spans="1:252" s="96" customFormat="1" ht="16.5" customHeight="1" thickBot="1" x14ac:dyDescent="0.25">
      <c r="A132" s="98">
        <v>130</v>
      </c>
      <c r="B132" s="102" t="s">
        <v>35</v>
      </c>
      <c r="C132" s="103" t="s">
        <v>36</v>
      </c>
      <c r="D132" s="103" t="s">
        <v>37</v>
      </c>
      <c r="E132" s="103" t="s">
        <v>116</v>
      </c>
      <c r="F132" s="103" t="s">
        <v>122</v>
      </c>
      <c r="G132" s="99" t="s">
        <v>127</v>
      </c>
      <c r="H132" s="115" t="s">
        <v>23</v>
      </c>
      <c r="I132" s="121" t="s">
        <v>591</v>
      </c>
      <c r="J132" s="122">
        <v>2013</v>
      </c>
      <c r="K132" s="116" t="s">
        <v>25</v>
      </c>
      <c r="L132" s="103">
        <v>3</v>
      </c>
      <c r="M132" s="103">
        <v>3</v>
      </c>
      <c r="N132" s="117">
        <v>1000</v>
      </c>
      <c r="O132" s="118">
        <f t="shared" ref="O132:O193" si="52">MAX(P132:R132)-AVERAGE(P132:R132)</f>
        <v>5.6666666666666288</v>
      </c>
      <c r="P132" s="117">
        <v>604</v>
      </c>
      <c r="Q132" s="117">
        <v>612</v>
      </c>
      <c r="R132" s="117">
        <v>603</v>
      </c>
      <c r="S132" s="120">
        <f t="shared" ref="S132:S146" si="53">1.44*N132</f>
        <v>1440</v>
      </c>
      <c r="T132" s="118">
        <f t="shared" ref="T132:T146" si="54">(R132+Q132+P132)/3</f>
        <v>606.33333333333337</v>
      </c>
      <c r="U132" s="100">
        <f t="shared" si="23"/>
        <v>42</v>
      </c>
      <c r="V132" s="104">
        <v>382</v>
      </c>
      <c r="W132" s="104">
        <v>1599</v>
      </c>
      <c r="X132" s="104" t="s">
        <v>41</v>
      </c>
      <c r="Y132" s="104" t="s">
        <v>42</v>
      </c>
      <c r="Z132" s="1"/>
      <c r="AA132" s="1"/>
    </row>
    <row r="133" spans="1:252" s="114" customFormat="1" ht="16.5" customHeight="1" thickBot="1" x14ac:dyDescent="0.25">
      <c r="A133" s="98">
        <v>131</v>
      </c>
      <c r="B133" s="102" t="s">
        <v>35</v>
      </c>
      <c r="C133" s="103" t="s">
        <v>36</v>
      </c>
      <c r="D133" s="103" t="s">
        <v>37</v>
      </c>
      <c r="E133" s="103" t="s">
        <v>116</v>
      </c>
      <c r="F133" s="103" t="s">
        <v>122</v>
      </c>
      <c r="G133" s="99" t="s">
        <v>124</v>
      </c>
      <c r="H133" s="115" t="s">
        <v>23</v>
      </c>
      <c r="I133" s="121" t="s">
        <v>573</v>
      </c>
      <c r="J133" s="122">
        <v>2003</v>
      </c>
      <c r="K133" s="116" t="s">
        <v>25</v>
      </c>
      <c r="L133" s="103">
        <v>3</v>
      </c>
      <c r="M133" s="103">
        <v>4</v>
      </c>
      <c r="N133" s="117">
        <v>500</v>
      </c>
      <c r="O133" s="118">
        <f t="shared" si="52"/>
        <v>5.3333333333333144</v>
      </c>
      <c r="P133" s="117">
        <v>469</v>
      </c>
      <c r="Q133" s="117">
        <v>471</v>
      </c>
      <c r="R133" s="117">
        <v>478</v>
      </c>
      <c r="S133" s="120">
        <f t="shared" si="53"/>
        <v>720</v>
      </c>
      <c r="T133" s="118">
        <f t="shared" si="54"/>
        <v>472.66666666666669</v>
      </c>
      <c r="U133" s="100">
        <f t="shared" si="23"/>
        <v>66</v>
      </c>
      <c r="V133" s="104">
        <v>380</v>
      </c>
      <c r="W133" s="104">
        <v>1599</v>
      </c>
      <c r="X133" s="104" t="s">
        <v>41</v>
      </c>
      <c r="Y133" s="104" t="s">
        <v>42</v>
      </c>
      <c r="Z133" s="1">
        <f>Q133-0.5*R133-0.5*P133</f>
        <v>-2.5</v>
      </c>
      <c r="AA133" s="1">
        <f>SQRT(3)/2*R133-SQRT(3)/2*P133</f>
        <v>7.794228634059948</v>
      </c>
    </row>
    <row r="134" spans="1:252" s="49" customFormat="1" ht="16.5" customHeight="1" thickBot="1" x14ac:dyDescent="0.3">
      <c r="A134" s="98">
        <v>132</v>
      </c>
      <c r="B134" s="102" t="s">
        <v>35</v>
      </c>
      <c r="C134" s="103" t="s">
        <v>36</v>
      </c>
      <c r="D134" s="103" t="s">
        <v>37</v>
      </c>
      <c r="E134" s="103" t="s">
        <v>116</v>
      </c>
      <c r="F134" s="103" t="s">
        <v>122</v>
      </c>
      <c r="G134" s="99" t="s">
        <v>128</v>
      </c>
      <c r="H134" s="115" t="s">
        <v>23</v>
      </c>
      <c r="I134" s="107" t="s">
        <v>573</v>
      </c>
      <c r="J134" s="108">
        <v>2012</v>
      </c>
      <c r="K134" s="116" t="s">
        <v>28</v>
      </c>
      <c r="L134" s="103">
        <v>3</v>
      </c>
      <c r="M134" s="103">
        <v>2</v>
      </c>
      <c r="N134" s="117">
        <v>800</v>
      </c>
      <c r="O134" s="118">
        <f t="shared" si="52"/>
        <v>6</v>
      </c>
      <c r="P134" s="119">
        <v>362</v>
      </c>
      <c r="Q134" s="119">
        <v>374</v>
      </c>
      <c r="R134" s="119">
        <v>368</v>
      </c>
      <c r="S134" s="120">
        <f t="shared" si="53"/>
        <v>1152</v>
      </c>
      <c r="T134" s="118">
        <f t="shared" si="54"/>
        <v>368</v>
      </c>
      <c r="U134" s="100">
        <f t="shared" si="23"/>
        <v>32</v>
      </c>
      <c r="V134" s="104">
        <v>380</v>
      </c>
      <c r="W134" s="104">
        <v>1599</v>
      </c>
      <c r="X134" s="104" t="s">
        <v>41</v>
      </c>
      <c r="Y134" s="104" t="s">
        <v>42</v>
      </c>
      <c r="Z134" s="1"/>
      <c r="AA134" s="1"/>
    </row>
    <row r="135" spans="1:252" s="49" customFormat="1" ht="16.5" customHeight="1" thickBot="1" x14ac:dyDescent="0.3">
      <c r="A135" s="84">
        <v>133</v>
      </c>
      <c r="B135" s="52" t="s">
        <v>35</v>
      </c>
      <c r="C135" s="41" t="s">
        <v>36</v>
      </c>
      <c r="D135" s="41" t="s">
        <v>37</v>
      </c>
      <c r="E135" s="41" t="s">
        <v>116</v>
      </c>
      <c r="F135" s="41" t="s">
        <v>122</v>
      </c>
      <c r="G135" s="42" t="s">
        <v>129</v>
      </c>
      <c r="H135" s="46" t="s">
        <v>23</v>
      </c>
      <c r="I135" s="62"/>
      <c r="J135" s="70"/>
      <c r="K135" s="66" t="s">
        <v>28</v>
      </c>
      <c r="L135" s="41">
        <v>3</v>
      </c>
      <c r="M135" s="41">
        <v>1</v>
      </c>
      <c r="N135" s="47">
        <v>500</v>
      </c>
      <c r="O135" s="43">
        <f t="shared" si="52"/>
        <v>4.6666666666666572</v>
      </c>
      <c r="P135" s="57">
        <v>231</v>
      </c>
      <c r="Q135" s="57">
        <v>220</v>
      </c>
      <c r="R135" s="57">
        <v>228</v>
      </c>
      <c r="S135" s="48">
        <f t="shared" si="53"/>
        <v>720</v>
      </c>
      <c r="T135" s="43">
        <f t="shared" si="54"/>
        <v>226.33333333333334</v>
      </c>
      <c r="U135" s="44">
        <f t="shared" si="23"/>
        <v>31</v>
      </c>
      <c r="V135" s="45">
        <v>380</v>
      </c>
      <c r="W135" s="45">
        <v>1599</v>
      </c>
      <c r="X135" s="45" t="s">
        <v>41</v>
      </c>
      <c r="Y135" s="45" t="s">
        <v>42</v>
      </c>
      <c r="Z135" s="1"/>
      <c r="AA135" s="1"/>
    </row>
    <row r="136" spans="1:252" s="49" customFormat="1" ht="16.5" customHeight="1" thickBot="1" x14ac:dyDescent="0.3">
      <c r="A136" s="98">
        <v>134</v>
      </c>
      <c r="B136" s="102" t="s">
        <v>35</v>
      </c>
      <c r="C136" s="103" t="s">
        <v>36</v>
      </c>
      <c r="D136" s="103" t="s">
        <v>37</v>
      </c>
      <c r="E136" s="103" t="s">
        <v>116</v>
      </c>
      <c r="F136" s="103" t="s">
        <v>122</v>
      </c>
      <c r="G136" s="99" t="s">
        <v>130</v>
      </c>
      <c r="H136" s="115" t="s">
        <v>23</v>
      </c>
      <c r="I136" s="107" t="s">
        <v>573</v>
      </c>
      <c r="J136" s="108">
        <v>2016</v>
      </c>
      <c r="K136" s="116" t="s">
        <v>28</v>
      </c>
      <c r="L136" s="103">
        <v>3</v>
      </c>
      <c r="M136" s="103">
        <v>1</v>
      </c>
      <c r="N136" s="117">
        <v>300</v>
      </c>
      <c r="O136" s="118">
        <f t="shared" si="52"/>
        <v>5.3333333333333428</v>
      </c>
      <c r="P136" s="119">
        <v>139</v>
      </c>
      <c r="Q136" s="119">
        <v>144</v>
      </c>
      <c r="R136" s="119">
        <v>133</v>
      </c>
      <c r="S136" s="120">
        <f t="shared" si="53"/>
        <v>432</v>
      </c>
      <c r="T136" s="118">
        <f t="shared" si="54"/>
        <v>138.66666666666666</v>
      </c>
      <c r="U136" s="100">
        <f t="shared" si="23"/>
        <v>32</v>
      </c>
      <c r="V136" s="104">
        <v>380</v>
      </c>
      <c r="W136" s="104">
        <v>1599</v>
      </c>
      <c r="X136" s="104" t="s">
        <v>41</v>
      </c>
      <c r="Y136" s="104" t="s">
        <v>42</v>
      </c>
      <c r="Z136" s="1"/>
      <c r="AA136" s="1"/>
    </row>
    <row r="137" spans="1:252" s="49" customFormat="1" ht="16.5" customHeight="1" thickBot="1" x14ac:dyDescent="0.3">
      <c r="A137" s="98">
        <v>135</v>
      </c>
      <c r="B137" s="102" t="s">
        <v>35</v>
      </c>
      <c r="C137" s="103" t="s">
        <v>36</v>
      </c>
      <c r="D137" s="103" t="s">
        <v>37</v>
      </c>
      <c r="E137" s="103" t="s">
        <v>116</v>
      </c>
      <c r="F137" s="103" t="s">
        <v>122</v>
      </c>
      <c r="G137" s="99" t="s">
        <v>135</v>
      </c>
      <c r="H137" s="115" t="s">
        <v>23</v>
      </c>
      <c r="I137" s="107" t="s">
        <v>591</v>
      </c>
      <c r="J137" s="108">
        <v>2019</v>
      </c>
      <c r="K137" s="116" t="s">
        <v>28</v>
      </c>
      <c r="L137" s="103">
        <v>3</v>
      </c>
      <c r="M137" s="103">
        <v>2</v>
      </c>
      <c r="N137" s="117">
        <v>500</v>
      </c>
      <c r="O137" s="118">
        <f t="shared" si="52"/>
        <v>5</v>
      </c>
      <c r="P137" s="119">
        <v>229</v>
      </c>
      <c r="Q137" s="119">
        <v>218</v>
      </c>
      <c r="R137" s="119">
        <v>225</v>
      </c>
      <c r="S137" s="120">
        <f t="shared" si="53"/>
        <v>720</v>
      </c>
      <c r="T137" s="118">
        <f t="shared" si="54"/>
        <v>224</v>
      </c>
      <c r="U137" s="100">
        <f t="shared" si="23"/>
        <v>31</v>
      </c>
      <c r="V137" s="104">
        <v>381</v>
      </c>
      <c r="W137" s="104">
        <v>1599</v>
      </c>
      <c r="X137" s="104" t="s">
        <v>41</v>
      </c>
      <c r="Y137" s="104" t="s">
        <v>42</v>
      </c>
      <c r="Z137" s="1"/>
      <c r="AA137" s="1"/>
    </row>
    <row r="138" spans="1:252" s="49" customFormat="1" ht="16.5" customHeight="1" thickBot="1" x14ac:dyDescent="0.3">
      <c r="A138" s="98">
        <v>136</v>
      </c>
      <c r="B138" s="102" t="s">
        <v>35</v>
      </c>
      <c r="C138" s="103" t="s">
        <v>36</v>
      </c>
      <c r="D138" s="103" t="s">
        <v>37</v>
      </c>
      <c r="E138" s="103" t="s">
        <v>116</v>
      </c>
      <c r="F138" s="103" t="s">
        <v>122</v>
      </c>
      <c r="G138" s="99" t="s">
        <v>125</v>
      </c>
      <c r="H138" s="115" t="s">
        <v>23</v>
      </c>
      <c r="I138" s="121" t="s">
        <v>591</v>
      </c>
      <c r="J138" s="122">
        <v>2016</v>
      </c>
      <c r="K138" s="116" t="s">
        <v>25</v>
      </c>
      <c r="L138" s="103">
        <v>3</v>
      </c>
      <c r="M138" s="103">
        <v>2</v>
      </c>
      <c r="N138" s="117">
        <v>500</v>
      </c>
      <c r="O138" s="118">
        <f t="shared" si="52"/>
        <v>5.3333333333333144</v>
      </c>
      <c r="P138" s="119">
        <v>389</v>
      </c>
      <c r="Q138" s="119">
        <v>377</v>
      </c>
      <c r="R138" s="119">
        <v>385</v>
      </c>
      <c r="S138" s="120">
        <f t="shared" si="53"/>
        <v>720</v>
      </c>
      <c r="T138" s="118">
        <f t="shared" si="54"/>
        <v>383.66666666666669</v>
      </c>
      <c r="U138" s="100">
        <f t="shared" ref="U138:U198" si="55">ROUND(((AVERAGE(P138,R138,Q138))/(N138*1.44))*100,0)</f>
        <v>53</v>
      </c>
      <c r="V138" s="104">
        <v>381</v>
      </c>
      <c r="W138" s="104">
        <v>1599</v>
      </c>
      <c r="X138" s="104" t="s">
        <v>41</v>
      </c>
      <c r="Y138" s="104" t="s">
        <v>42</v>
      </c>
      <c r="Z138" s="1">
        <f>Q138-0.5*R138-0.5*P138</f>
        <v>-10</v>
      </c>
      <c r="AA138" s="1">
        <f>SQRT(3)/2*R138-SQRT(3)/2*P138</f>
        <v>-3.4641016151377357</v>
      </c>
    </row>
    <row r="139" spans="1:252" s="49" customFormat="1" ht="16.5" customHeight="1" thickBot="1" x14ac:dyDescent="0.3">
      <c r="A139" s="98">
        <v>137</v>
      </c>
      <c r="B139" s="102" t="s">
        <v>35</v>
      </c>
      <c r="C139" s="103" t="s">
        <v>36</v>
      </c>
      <c r="D139" s="103" t="s">
        <v>37</v>
      </c>
      <c r="E139" s="103" t="s">
        <v>116</v>
      </c>
      <c r="F139" s="103" t="s">
        <v>122</v>
      </c>
      <c r="G139" s="99" t="s">
        <v>131</v>
      </c>
      <c r="H139" s="115" t="s">
        <v>23</v>
      </c>
      <c r="I139" s="107" t="s">
        <v>573</v>
      </c>
      <c r="J139" s="108">
        <v>2019</v>
      </c>
      <c r="K139" s="116" t="s">
        <v>28</v>
      </c>
      <c r="L139" s="103">
        <v>3</v>
      </c>
      <c r="M139" s="103"/>
      <c r="N139" s="117">
        <v>500</v>
      </c>
      <c r="O139" s="118">
        <f t="shared" si="52"/>
        <v>5</v>
      </c>
      <c r="P139" s="119">
        <v>226</v>
      </c>
      <c r="Q139" s="119">
        <v>229</v>
      </c>
      <c r="R139" s="119">
        <v>235</v>
      </c>
      <c r="S139" s="120">
        <f t="shared" si="53"/>
        <v>720</v>
      </c>
      <c r="T139" s="118">
        <f t="shared" si="54"/>
        <v>230</v>
      </c>
      <c r="U139" s="100">
        <f t="shared" si="55"/>
        <v>32</v>
      </c>
      <c r="V139" s="104">
        <v>381</v>
      </c>
      <c r="W139" s="104">
        <v>1599</v>
      </c>
      <c r="X139" s="104" t="s">
        <v>41</v>
      </c>
      <c r="Y139" s="104" t="s">
        <v>42</v>
      </c>
      <c r="Z139" s="1"/>
      <c r="AA139" s="1"/>
    </row>
    <row r="140" spans="1:252" s="49" customFormat="1" ht="16.5" customHeight="1" thickBot="1" x14ac:dyDescent="0.3">
      <c r="A140" s="98">
        <v>138</v>
      </c>
      <c r="B140" s="102" t="s">
        <v>35</v>
      </c>
      <c r="C140" s="103" t="s">
        <v>36</v>
      </c>
      <c r="D140" s="103" t="s">
        <v>37</v>
      </c>
      <c r="E140" s="103" t="s">
        <v>116</v>
      </c>
      <c r="F140" s="103" t="s">
        <v>122</v>
      </c>
      <c r="G140" s="99" t="s">
        <v>134</v>
      </c>
      <c r="H140" s="115" t="s">
        <v>23</v>
      </c>
      <c r="I140" s="107" t="s">
        <v>573</v>
      </c>
      <c r="J140" s="108">
        <v>2019</v>
      </c>
      <c r="K140" s="116" t="s">
        <v>28</v>
      </c>
      <c r="L140" s="103">
        <v>3</v>
      </c>
      <c r="M140" s="103"/>
      <c r="N140" s="117">
        <v>300</v>
      </c>
      <c r="O140" s="118">
        <f t="shared" si="52"/>
        <v>5.3333333333333428</v>
      </c>
      <c r="P140" s="119">
        <v>149</v>
      </c>
      <c r="Q140" s="119">
        <v>137</v>
      </c>
      <c r="R140" s="119">
        <v>145</v>
      </c>
      <c r="S140" s="120">
        <f t="shared" si="53"/>
        <v>432</v>
      </c>
      <c r="T140" s="118">
        <f t="shared" si="54"/>
        <v>143.66666666666666</v>
      </c>
      <c r="U140" s="100">
        <f t="shared" si="55"/>
        <v>33</v>
      </c>
      <c r="V140" s="104">
        <v>380</v>
      </c>
      <c r="W140" s="104">
        <v>1599</v>
      </c>
      <c r="X140" s="104" t="s">
        <v>41</v>
      </c>
      <c r="Y140" s="104" t="s">
        <v>42</v>
      </c>
      <c r="Z140" s="1"/>
      <c r="AA140" s="1"/>
    </row>
    <row r="141" spans="1:252" s="49" customFormat="1" ht="16.5" customHeight="1" thickBot="1" x14ac:dyDescent="0.3">
      <c r="A141" s="84">
        <v>139</v>
      </c>
      <c r="B141" s="52" t="s">
        <v>35</v>
      </c>
      <c r="C141" s="41" t="s">
        <v>36</v>
      </c>
      <c r="D141" s="41" t="s">
        <v>37</v>
      </c>
      <c r="E141" s="41" t="s">
        <v>116</v>
      </c>
      <c r="F141" s="41" t="s">
        <v>122</v>
      </c>
      <c r="G141" s="42" t="s">
        <v>136</v>
      </c>
      <c r="H141" s="46" t="s">
        <v>23</v>
      </c>
      <c r="I141" s="62" t="s">
        <v>591</v>
      </c>
      <c r="J141" s="70">
        <v>2019</v>
      </c>
      <c r="K141" s="66" t="s">
        <v>28</v>
      </c>
      <c r="L141" s="41">
        <v>3</v>
      </c>
      <c r="M141" s="41">
        <v>1</v>
      </c>
      <c r="N141" s="47">
        <v>300</v>
      </c>
      <c r="O141" s="43">
        <f t="shared" si="52"/>
        <v>4.6666666666666572</v>
      </c>
      <c r="P141" s="57">
        <v>138</v>
      </c>
      <c r="Q141" s="57">
        <v>134</v>
      </c>
      <c r="R141" s="57">
        <v>143</v>
      </c>
      <c r="S141" s="48">
        <f t="shared" si="53"/>
        <v>432</v>
      </c>
      <c r="T141" s="43">
        <f t="shared" si="54"/>
        <v>138.33333333333334</v>
      </c>
      <c r="U141" s="44">
        <f t="shared" si="55"/>
        <v>32</v>
      </c>
      <c r="V141" s="45">
        <v>380</v>
      </c>
      <c r="W141" s="45">
        <v>1599</v>
      </c>
      <c r="X141" s="45" t="s">
        <v>41</v>
      </c>
      <c r="Y141" s="45" t="s">
        <v>42</v>
      </c>
      <c r="Z141" s="1"/>
      <c r="AA141" s="1"/>
    </row>
    <row r="142" spans="1:252" s="49" customFormat="1" ht="16.5" customHeight="1" thickBot="1" x14ac:dyDescent="0.3">
      <c r="A142" s="84">
        <v>140</v>
      </c>
      <c r="B142" s="52" t="s">
        <v>35</v>
      </c>
      <c r="C142" s="41" t="s">
        <v>36</v>
      </c>
      <c r="D142" s="41" t="s">
        <v>37</v>
      </c>
      <c r="E142" s="41" t="s">
        <v>116</v>
      </c>
      <c r="F142" s="41" t="s">
        <v>122</v>
      </c>
      <c r="G142" s="42" t="s">
        <v>137</v>
      </c>
      <c r="H142" s="46" t="s">
        <v>23</v>
      </c>
      <c r="I142" s="62"/>
      <c r="J142" s="70"/>
      <c r="K142" s="66" t="s">
        <v>28</v>
      </c>
      <c r="L142" s="41">
        <v>3</v>
      </c>
      <c r="M142" s="41"/>
      <c r="N142" s="47">
        <v>800</v>
      </c>
      <c r="O142" s="43">
        <f t="shared" si="52"/>
        <v>5</v>
      </c>
      <c r="P142" s="57">
        <v>362</v>
      </c>
      <c r="Q142" s="57">
        <v>355</v>
      </c>
      <c r="R142" s="57">
        <v>366</v>
      </c>
      <c r="S142" s="48">
        <f t="shared" si="53"/>
        <v>1152</v>
      </c>
      <c r="T142" s="43">
        <f t="shared" si="54"/>
        <v>361</v>
      </c>
      <c r="U142" s="44">
        <f t="shared" si="55"/>
        <v>31</v>
      </c>
      <c r="V142" s="45">
        <v>381</v>
      </c>
      <c r="W142" s="45">
        <v>1599</v>
      </c>
      <c r="X142" s="45" t="s">
        <v>41</v>
      </c>
      <c r="Y142" s="45" t="s">
        <v>42</v>
      </c>
      <c r="Z142" s="1"/>
      <c r="AA142" s="1"/>
    </row>
    <row r="143" spans="1:252" s="49" customFormat="1" ht="16.5" customHeight="1" thickBot="1" x14ac:dyDescent="0.3">
      <c r="A143" s="84">
        <v>141</v>
      </c>
      <c r="B143" s="52" t="s">
        <v>35</v>
      </c>
      <c r="C143" s="41" t="s">
        <v>36</v>
      </c>
      <c r="D143" s="41" t="s">
        <v>37</v>
      </c>
      <c r="E143" s="41" t="s">
        <v>116</v>
      </c>
      <c r="F143" s="41" t="s">
        <v>122</v>
      </c>
      <c r="G143" s="42" t="s">
        <v>132</v>
      </c>
      <c r="H143" s="46" t="s">
        <v>23</v>
      </c>
      <c r="I143" s="62" t="s">
        <v>573</v>
      </c>
      <c r="J143" s="70">
        <v>2015</v>
      </c>
      <c r="K143" s="66" t="s">
        <v>28</v>
      </c>
      <c r="L143" s="41">
        <v>3</v>
      </c>
      <c r="M143" s="41"/>
      <c r="N143" s="47">
        <v>300</v>
      </c>
      <c r="O143" s="43">
        <f t="shared" si="52"/>
        <v>6</v>
      </c>
      <c r="P143" s="57">
        <v>146</v>
      </c>
      <c r="Q143" s="57">
        <v>133</v>
      </c>
      <c r="R143" s="57">
        <v>141</v>
      </c>
      <c r="S143" s="48">
        <f t="shared" si="53"/>
        <v>432</v>
      </c>
      <c r="T143" s="43">
        <f t="shared" si="54"/>
        <v>140</v>
      </c>
      <c r="U143" s="44">
        <f t="shared" si="55"/>
        <v>32</v>
      </c>
      <c r="V143" s="45">
        <v>381</v>
      </c>
      <c r="W143" s="45">
        <v>1599</v>
      </c>
      <c r="X143" s="45" t="s">
        <v>41</v>
      </c>
      <c r="Y143" s="45" t="s">
        <v>42</v>
      </c>
      <c r="Z143" s="1"/>
      <c r="AA143" s="1"/>
    </row>
    <row r="144" spans="1:252" s="49" customFormat="1" ht="16.5" customHeight="1" thickBot="1" x14ac:dyDescent="0.25">
      <c r="A144" s="84">
        <v>142</v>
      </c>
      <c r="B144" s="52" t="s">
        <v>35</v>
      </c>
      <c r="C144" s="41" t="s">
        <v>36</v>
      </c>
      <c r="D144" s="41" t="s">
        <v>37</v>
      </c>
      <c r="E144" s="41" t="s">
        <v>116</v>
      </c>
      <c r="F144" s="41" t="s">
        <v>122</v>
      </c>
      <c r="G144" s="42" t="s">
        <v>442</v>
      </c>
      <c r="H144" s="46" t="s">
        <v>26</v>
      </c>
      <c r="I144" s="63"/>
      <c r="J144" s="71"/>
      <c r="K144" s="66" t="s">
        <v>25</v>
      </c>
      <c r="L144" s="41">
        <v>3</v>
      </c>
      <c r="M144" s="41"/>
      <c r="N144" s="47">
        <v>63</v>
      </c>
      <c r="O144" s="43">
        <f t="shared" si="52"/>
        <v>2.6666666666666643</v>
      </c>
      <c r="P144" s="47">
        <v>39</v>
      </c>
      <c r="Q144" s="47">
        <v>37</v>
      </c>
      <c r="R144" s="47">
        <v>42</v>
      </c>
      <c r="S144" s="48">
        <f t="shared" si="53"/>
        <v>90.72</v>
      </c>
      <c r="T144" s="43">
        <f t="shared" si="54"/>
        <v>39.333333333333336</v>
      </c>
      <c r="U144" s="44">
        <f t="shared" si="55"/>
        <v>43</v>
      </c>
      <c r="V144" s="45">
        <v>381</v>
      </c>
      <c r="W144" s="45">
        <v>1599</v>
      </c>
      <c r="X144" s="45" t="s">
        <v>41</v>
      </c>
      <c r="Y144" s="45" t="s">
        <v>42</v>
      </c>
      <c r="Z144" s="1"/>
      <c r="AA144" s="1"/>
    </row>
    <row r="145" spans="1:27" s="49" customFormat="1" ht="16.5" customHeight="1" thickBot="1" x14ac:dyDescent="0.25">
      <c r="A145" s="84">
        <v>143</v>
      </c>
      <c r="B145" s="52" t="s">
        <v>35</v>
      </c>
      <c r="C145" s="41" t="s">
        <v>36</v>
      </c>
      <c r="D145" s="41" t="s">
        <v>37</v>
      </c>
      <c r="E145" s="41" t="s">
        <v>116</v>
      </c>
      <c r="F145" s="41" t="s">
        <v>122</v>
      </c>
      <c r="G145" s="42" t="s">
        <v>443</v>
      </c>
      <c r="H145" s="46" t="s">
        <v>26</v>
      </c>
      <c r="I145" s="63"/>
      <c r="J145" s="71"/>
      <c r="K145" s="66" t="s">
        <v>25</v>
      </c>
      <c r="L145" s="41">
        <v>3</v>
      </c>
      <c r="M145" s="41"/>
      <c r="N145" s="47">
        <v>63</v>
      </c>
      <c r="O145" s="43">
        <f t="shared" si="52"/>
        <v>2.6666666666666643</v>
      </c>
      <c r="P145" s="47">
        <v>46</v>
      </c>
      <c r="Q145" s="47">
        <v>39</v>
      </c>
      <c r="R145" s="47">
        <v>45</v>
      </c>
      <c r="S145" s="48">
        <f t="shared" si="53"/>
        <v>90.72</v>
      </c>
      <c r="T145" s="43">
        <f t="shared" si="54"/>
        <v>43.333333333333336</v>
      </c>
      <c r="U145" s="44">
        <f t="shared" si="55"/>
        <v>48</v>
      </c>
      <c r="V145" s="45">
        <v>381</v>
      </c>
      <c r="W145" s="45">
        <v>1599</v>
      </c>
      <c r="X145" s="45" t="s">
        <v>41</v>
      </c>
      <c r="Y145" s="45" t="s">
        <v>42</v>
      </c>
      <c r="Z145" s="1"/>
      <c r="AA145" s="1"/>
    </row>
    <row r="146" spans="1:27" s="49" customFormat="1" ht="16.5" customHeight="1" thickBot="1" x14ac:dyDescent="0.25">
      <c r="A146" s="84">
        <v>144</v>
      </c>
      <c r="B146" s="52" t="s">
        <v>35</v>
      </c>
      <c r="C146" s="41" t="s">
        <v>36</v>
      </c>
      <c r="D146" s="41" t="s">
        <v>37</v>
      </c>
      <c r="E146" s="41" t="s">
        <v>116</v>
      </c>
      <c r="F146" s="41" t="s">
        <v>122</v>
      </c>
      <c r="G146" s="42" t="s">
        <v>444</v>
      </c>
      <c r="H146" s="46" t="s">
        <v>26</v>
      </c>
      <c r="I146" s="64"/>
      <c r="J146" s="72"/>
      <c r="K146" s="66" t="s">
        <v>28</v>
      </c>
      <c r="L146" s="41">
        <v>3</v>
      </c>
      <c r="M146" s="41"/>
      <c r="N146" s="47">
        <v>500</v>
      </c>
      <c r="O146" s="43">
        <f t="shared" si="52"/>
        <v>7.6666666666666856</v>
      </c>
      <c r="P146" s="47">
        <v>295</v>
      </c>
      <c r="Q146" s="47">
        <v>306</v>
      </c>
      <c r="R146" s="47">
        <v>312</v>
      </c>
      <c r="S146" s="48">
        <f t="shared" si="53"/>
        <v>720</v>
      </c>
      <c r="T146" s="43">
        <f t="shared" si="54"/>
        <v>304.33333333333331</v>
      </c>
      <c r="U146" s="44">
        <f t="shared" si="55"/>
        <v>42</v>
      </c>
      <c r="V146" s="45">
        <v>381</v>
      </c>
      <c r="W146" s="45">
        <v>1599</v>
      </c>
      <c r="X146" s="45" t="s">
        <v>41</v>
      </c>
      <c r="Y146" s="45" t="s">
        <v>42</v>
      </c>
      <c r="Z146" s="1"/>
      <c r="AA146" s="1"/>
    </row>
    <row r="147" spans="1:27" s="49" customFormat="1" ht="17.45" customHeight="1" thickBot="1" x14ac:dyDescent="0.3">
      <c r="A147" s="98">
        <v>145</v>
      </c>
      <c r="B147" s="102" t="s">
        <v>35</v>
      </c>
      <c r="C147" s="103" t="s">
        <v>36</v>
      </c>
      <c r="D147" s="103" t="s">
        <v>37</v>
      </c>
      <c r="E147" s="103" t="s">
        <v>116</v>
      </c>
      <c r="F147" s="103" t="s">
        <v>122</v>
      </c>
      <c r="G147" s="99" t="s">
        <v>126</v>
      </c>
      <c r="H147" s="115" t="s">
        <v>23</v>
      </c>
      <c r="I147" s="121"/>
      <c r="J147" s="122"/>
      <c r="K147" s="116" t="s">
        <v>25</v>
      </c>
      <c r="L147" s="103">
        <v>3</v>
      </c>
      <c r="M147" s="103">
        <v>6</v>
      </c>
      <c r="N147" s="117">
        <v>1000</v>
      </c>
      <c r="O147" s="118">
        <f t="shared" si="52"/>
        <v>5.6666666666666288</v>
      </c>
      <c r="P147" s="119">
        <v>602</v>
      </c>
      <c r="Q147" s="119">
        <v>595</v>
      </c>
      <c r="R147" s="119">
        <v>607</v>
      </c>
      <c r="S147" s="120">
        <f>1.44*N147</f>
        <v>1440</v>
      </c>
      <c r="T147" s="118">
        <f>(R147+Q147+P147)/3</f>
        <v>601.33333333333337</v>
      </c>
      <c r="U147" s="100">
        <f t="shared" si="55"/>
        <v>42</v>
      </c>
      <c r="V147" s="104">
        <v>382</v>
      </c>
      <c r="W147" s="104">
        <v>1599</v>
      </c>
      <c r="X147" s="104" t="s">
        <v>41</v>
      </c>
      <c r="Y147" s="104" t="s">
        <v>42</v>
      </c>
      <c r="Z147" s="1">
        <f>Q147-0.5*R147-0.5*P147</f>
        <v>-9.5</v>
      </c>
      <c r="AA147" s="1">
        <f>SQRT(3)/2*R147-SQRT(3)/2*P147</f>
        <v>4.3301270189222123</v>
      </c>
    </row>
    <row r="148" spans="1:27" s="49" customFormat="1" ht="16.5" customHeight="1" thickBot="1" x14ac:dyDescent="0.25">
      <c r="A148" s="84">
        <v>146</v>
      </c>
      <c r="B148" s="52" t="s">
        <v>35</v>
      </c>
      <c r="C148" s="41" t="s">
        <v>36</v>
      </c>
      <c r="D148" s="41" t="s">
        <v>37</v>
      </c>
      <c r="E148" s="41" t="s">
        <v>116</v>
      </c>
      <c r="F148" s="41" t="s">
        <v>138</v>
      </c>
      <c r="G148" s="42" t="s">
        <v>445</v>
      </c>
      <c r="H148" s="46" t="s">
        <v>26</v>
      </c>
      <c r="I148" s="62" t="s">
        <v>591</v>
      </c>
      <c r="J148" s="70">
        <v>2005</v>
      </c>
      <c r="K148" s="66" t="s">
        <v>28</v>
      </c>
      <c r="L148" s="41">
        <v>3</v>
      </c>
      <c r="M148" s="41"/>
      <c r="N148" s="47">
        <v>630</v>
      </c>
      <c r="O148" s="43">
        <f t="shared" si="52"/>
        <v>6.3333333333333144</v>
      </c>
      <c r="P148" s="47">
        <v>413</v>
      </c>
      <c r="Q148" s="47">
        <v>400</v>
      </c>
      <c r="R148" s="47">
        <v>416</v>
      </c>
      <c r="S148" s="48">
        <f t="shared" ref="S148:S158" si="56">1.44*N148</f>
        <v>907.19999999999993</v>
      </c>
      <c r="T148" s="43">
        <f t="shared" ref="T148:T149" si="57">(R148+Q148+P148)/3</f>
        <v>409.66666666666669</v>
      </c>
      <c r="U148" s="44">
        <f t="shared" si="55"/>
        <v>45</v>
      </c>
      <c r="V148" s="45">
        <v>382</v>
      </c>
      <c r="W148" s="45">
        <v>1500</v>
      </c>
      <c r="X148" s="45" t="s">
        <v>139</v>
      </c>
      <c r="Y148" s="45" t="s">
        <v>42</v>
      </c>
      <c r="Z148" s="1">
        <f t="shared" ref="Z148:Z204" si="58">Q148-0.5*R148-0.5*P148</f>
        <v>-14.5</v>
      </c>
      <c r="AA148" s="1">
        <f t="shared" ref="AA148:AA195" si="59">SQRT(3)/2*R148-SQRT(3)/2*P148</f>
        <v>2.598076211353316</v>
      </c>
    </row>
    <row r="149" spans="1:27" s="49" customFormat="1" ht="16.5" customHeight="1" thickBot="1" x14ac:dyDescent="0.25">
      <c r="A149" s="84">
        <v>147</v>
      </c>
      <c r="B149" s="52" t="s">
        <v>35</v>
      </c>
      <c r="C149" s="41" t="s">
        <v>36</v>
      </c>
      <c r="D149" s="41" t="s">
        <v>37</v>
      </c>
      <c r="E149" s="41" t="s">
        <v>116</v>
      </c>
      <c r="F149" s="41" t="s">
        <v>138</v>
      </c>
      <c r="G149" s="42" t="s">
        <v>446</v>
      </c>
      <c r="H149" s="46" t="s">
        <v>26</v>
      </c>
      <c r="I149" s="62" t="s">
        <v>591</v>
      </c>
      <c r="J149" s="70">
        <v>2005</v>
      </c>
      <c r="K149" s="66" t="s">
        <v>28</v>
      </c>
      <c r="L149" s="41">
        <v>3</v>
      </c>
      <c r="M149" s="41"/>
      <c r="N149" s="47">
        <v>630</v>
      </c>
      <c r="O149" s="43">
        <f t="shared" si="52"/>
        <v>6</v>
      </c>
      <c r="P149" s="47">
        <v>405</v>
      </c>
      <c r="Q149" s="47">
        <v>415</v>
      </c>
      <c r="R149" s="47">
        <v>407</v>
      </c>
      <c r="S149" s="48">
        <f t="shared" si="56"/>
        <v>907.19999999999993</v>
      </c>
      <c r="T149" s="43">
        <f t="shared" si="57"/>
        <v>409</v>
      </c>
      <c r="U149" s="44">
        <f t="shared" si="55"/>
        <v>45</v>
      </c>
      <c r="V149" s="45">
        <v>382</v>
      </c>
      <c r="W149" s="45">
        <v>1500</v>
      </c>
      <c r="X149" s="45" t="s">
        <v>139</v>
      </c>
      <c r="Y149" s="45" t="s">
        <v>42</v>
      </c>
      <c r="Z149" s="1">
        <f t="shared" si="58"/>
        <v>9</v>
      </c>
      <c r="AA149" s="1">
        <f t="shared" si="59"/>
        <v>1.7320508075688963</v>
      </c>
    </row>
    <row r="150" spans="1:27" s="49" customFormat="1" ht="16.5" customHeight="1" thickBot="1" x14ac:dyDescent="0.25">
      <c r="A150" s="84">
        <v>148</v>
      </c>
      <c r="B150" s="52" t="s">
        <v>35</v>
      </c>
      <c r="C150" s="41" t="s">
        <v>36</v>
      </c>
      <c r="D150" s="41" t="s">
        <v>37</v>
      </c>
      <c r="E150" s="41" t="s">
        <v>116</v>
      </c>
      <c r="F150" s="41" t="s">
        <v>138</v>
      </c>
      <c r="G150" s="42" t="s">
        <v>138</v>
      </c>
      <c r="H150" s="46" t="s">
        <v>23</v>
      </c>
      <c r="I150" s="63" t="s">
        <v>591</v>
      </c>
      <c r="J150" s="71">
        <v>2009</v>
      </c>
      <c r="K150" s="66" t="s">
        <v>25</v>
      </c>
      <c r="L150" s="41">
        <v>3</v>
      </c>
      <c r="M150" s="41">
        <v>6</v>
      </c>
      <c r="N150" s="47">
        <v>1000</v>
      </c>
      <c r="O150" s="43">
        <f t="shared" si="52"/>
        <v>7</v>
      </c>
      <c r="P150" s="47">
        <v>679</v>
      </c>
      <c r="Q150" s="47">
        <v>684</v>
      </c>
      <c r="R150" s="47">
        <v>692</v>
      </c>
      <c r="S150" s="48">
        <f t="shared" si="56"/>
        <v>1440</v>
      </c>
      <c r="T150" s="43">
        <f t="shared" ref="T150:T158" si="60">(R150+Q150+P150)/3</f>
        <v>685</v>
      </c>
      <c r="U150" s="44">
        <f t="shared" si="55"/>
        <v>48</v>
      </c>
      <c r="V150" s="45">
        <v>380</v>
      </c>
      <c r="W150" s="45">
        <v>1500</v>
      </c>
      <c r="X150" s="45" t="s">
        <v>139</v>
      </c>
      <c r="Y150" s="45" t="s">
        <v>42</v>
      </c>
      <c r="Z150" s="1">
        <f t="shared" si="58"/>
        <v>-1.5</v>
      </c>
      <c r="AA150" s="1">
        <f t="shared" si="59"/>
        <v>11.258330249197684</v>
      </c>
    </row>
    <row r="151" spans="1:27" s="49" customFormat="1" ht="16.5" customHeight="1" thickBot="1" x14ac:dyDescent="0.25">
      <c r="A151" s="84">
        <v>149</v>
      </c>
      <c r="B151" s="52" t="s">
        <v>35</v>
      </c>
      <c r="C151" s="41" t="s">
        <v>36</v>
      </c>
      <c r="D151" s="41" t="s">
        <v>37</v>
      </c>
      <c r="E151" s="41" t="s">
        <v>116</v>
      </c>
      <c r="F151" s="41" t="s">
        <v>138</v>
      </c>
      <c r="G151" s="42" t="s">
        <v>561</v>
      </c>
      <c r="H151" s="46" t="s">
        <v>23</v>
      </c>
      <c r="I151" s="63" t="s">
        <v>573</v>
      </c>
      <c r="J151" s="71">
        <v>2023</v>
      </c>
      <c r="K151" s="66" t="s">
        <v>25</v>
      </c>
      <c r="L151" s="41">
        <v>3</v>
      </c>
      <c r="M151" s="41">
        <v>3</v>
      </c>
      <c r="N151" s="47">
        <v>500</v>
      </c>
      <c r="O151" s="43">
        <f t="shared" si="52"/>
        <v>5.3333333333333428</v>
      </c>
      <c r="P151" s="47">
        <v>261</v>
      </c>
      <c r="Q151" s="47">
        <v>250</v>
      </c>
      <c r="R151" s="47">
        <v>256</v>
      </c>
      <c r="S151" s="48">
        <f t="shared" si="56"/>
        <v>720</v>
      </c>
      <c r="T151" s="43">
        <f t="shared" si="60"/>
        <v>255.66666666666666</v>
      </c>
      <c r="U151" s="44">
        <f t="shared" si="55"/>
        <v>36</v>
      </c>
      <c r="V151" s="45">
        <v>380</v>
      </c>
      <c r="W151" s="45">
        <v>1500</v>
      </c>
      <c r="X151" s="45" t="s">
        <v>139</v>
      </c>
      <c r="Y151" s="45" t="s">
        <v>42</v>
      </c>
      <c r="Z151" s="1"/>
      <c r="AA151" s="1"/>
    </row>
    <row r="152" spans="1:27" s="49" customFormat="1" ht="16.5" customHeight="1" thickBot="1" x14ac:dyDescent="0.25">
      <c r="A152" s="98">
        <v>150</v>
      </c>
      <c r="B152" s="102" t="s">
        <v>35</v>
      </c>
      <c r="C152" s="103" t="s">
        <v>36</v>
      </c>
      <c r="D152" s="103" t="s">
        <v>37</v>
      </c>
      <c r="E152" s="103" t="s">
        <v>116</v>
      </c>
      <c r="F152" s="103" t="s">
        <v>138</v>
      </c>
      <c r="G152" s="99" t="s">
        <v>140</v>
      </c>
      <c r="H152" s="115" t="s">
        <v>23</v>
      </c>
      <c r="I152" s="121"/>
      <c r="J152" s="122"/>
      <c r="K152" s="116" t="s">
        <v>25</v>
      </c>
      <c r="L152" s="103">
        <v>3</v>
      </c>
      <c r="M152" s="103">
        <v>4</v>
      </c>
      <c r="N152" s="117">
        <v>1000</v>
      </c>
      <c r="O152" s="118">
        <f t="shared" si="52"/>
        <v>7</v>
      </c>
      <c r="P152" s="117">
        <v>511</v>
      </c>
      <c r="Q152" s="117">
        <v>496</v>
      </c>
      <c r="R152" s="117">
        <v>505</v>
      </c>
      <c r="S152" s="120">
        <f t="shared" si="56"/>
        <v>1440</v>
      </c>
      <c r="T152" s="118">
        <f t="shared" si="60"/>
        <v>504</v>
      </c>
      <c r="U152" s="100">
        <f t="shared" si="55"/>
        <v>35</v>
      </c>
      <c r="V152" s="104">
        <v>380</v>
      </c>
      <c r="W152" s="104">
        <v>1500</v>
      </c>
      <c r="X152" s="104" t="s">
        <v>139</v>
      </c>
      <c r="Y152" s="104" t="s">
        <v>42</v>
      </c>
      <c r="Z152" s="1">
        <f t="shared" si="58"/>
        <v>-12</v>
      </c>
      <c r="AA152" s="1">
        <f t="shared" si="59"/>
        <v>-5.196152422706632</v>
      </c>
    </row>
    <row r="153" spans="1:27" s="49" customFormat="1" ht="16.5" customHeight="1" thickBot="1" x14ac:dyDescent="0.25">
      <c r="A153" s="98">
        <v>151</v>
      </c>
      <c r="B153" s="102" t="s">
        <v>35</v>
      </c>
      <c r="C153" s="103" t="s">
        <v>36</v>
      </c>
      <c r="D153" s="103" t="s">
        <v>37</v>
      </c>
      <c r="E153" s="103" t="s">
        <v>116</v>
      </c>
      <c r="F153" s="103" t="s">
        <v>138</v>
      </c>
      <c r="G153" s="99" t="s">
        <v>141</v>
      </c>
      <c r="H153" s="115" t="s">
        <v>23</v>
      </c>
      <c r="I153" s="121" t="s">
        <v>591</v>
      </c>
      <c r="J153" s="122">
        <v>2016</v>
      </c>
      <c r="K153" s="116" t="s">
        <v>25</v>
      </c>
      <c r="L153" s="103">
        <v>3</v>
      </c>
      <c r="M153" s="103">
        <v>4</v>
      </c>
      <c r="N153" s="117">
        <v>1000</v>
      </c>
      <c r="O153" s="118">
        <f t="shared" si="52"/>
        <v>7.3333333333333712</v>
      </c>
      <c r="P153" s="117">
        <v>601</v>
      </c>
      <c r="Q153" s="117">
        <v>592</v>
      </c>
      <c r="R153" s="117">
        <v>588</v>
      </c>
      <c r="S153" s="120">
        <f t="shared" si="56"/>
        <v>1440</v>
      </c>
      <c r="T153" s="118">
        <f t="shared" si="60"/>
        <v>593.66666666666663</v>
      </c>
      <c r="U153" s="100">
        <f t="shared" si="55"/>
        <v>41</v>
      </c>
      <c r="V153" s="104">
        <v>380</v>
      </c>
      <c r="W153" s="104">
        <v>1500</v>
      </c>
      <c r="X153" s="104" t="s">
        <v>139</v>
      </c>
      <c r="Y153" s="104" t="s">
        <v>42</v>
      </c>
      <c r="Z153" s="1">
        <f t="shared" si="58"/>
        <v>-2.5</v>
      </c>
      <c r="AA153" s="1">
        <f t="shared" si="59"/>
        <v>-11.258330249197741</v>
      </c>
    </row>
    <row r="154" spans="1:27" s="49" customFormat="1" ht="16.5" customHeight="1" thickBot="1" x14ac:dyDescent="0.3">
      <c r="A154" s="84">
        <v>152</v>
      </c>
      <c r="B154" s="52" t="s">
        <v>35</v>
      </c>
      <c r="C154" s="41" t="s">
        <v>36</v>
      </c>
      <c r="D154" s="41" t="s">
        <v>37</v>
      </c>
      <c r="E154" s="41" t="s">
        <v>116</v>
      </c>
      <c r="F154" s="41" t="s">
        <v>142</v>
      </c>
      <c r="G154" s="42" t="s">
        <v>572</v>
      </c>
      <c r="H154" s="46" t="s">
        <v>23</v>
      </c>
      <c r="I154" s="62"/>
      <c r="J154" s="70"/>
      <c r="K154" s="66" t="s">
        <v>28</v>
      </c>
      <c r="L154" s="41">
        <v>3</v>
      </c>
      <c r="M154" s="41">
        <v>4</v>
      </c>
      <c r="N154" s="47">
        <v>500</v>
      </c>
      <c r="O154" s="43">
        <f t="shared" si="52"/>
        <v>5.6666666666666572</v>
      </c>
      <c r="P154" s="57">
        <v>239</v>
      </c>
      <c r="Q154" s="57">
        <v>225</v>
      </c>
      <c r="R154" s="57">
        <v>236</v>
      </c>
      <c r="S154" s="48">
        <f t="shared" si="56"/>
        <v>720</v>
      </c>
      <c r="T154" s="43">
        <f t="shared" si="60"/>
        <v>233.33333333333334</v>
      </c>
      <c r="U154" s="44">
        <f t="shared" si="55"/>
        <v>32</v>
      </c>
      <c r="V154" s="45">
        <v>381</v>
      </c>
      <c r="W154" s="45">
        <v>1500</v>
      </c>
      <c r="X154" s="45" t="s">
        <v>139</v>
      </c>
      <c r="Y154" s="45" t="s">
        <v>42</v>
      </c>
      <c r="Z154" s="1"/>
      <c r="AA154" s="1"/>
    </row>
    <row r="155" spans="1:27" s="49" customFormat="1" ht="15.6" customHeight="1" thickBot="1" x14ac:dyDescent="0.3">
      <c r="A155" s="98">
        <v>153</v>
      </c>
      <c r="B155" s="102" t="s">
        <v>35</v>
      </c>
      <c r="C155" s="103" t="s">
        <v>36</v>
      </c>
      <c r="D155" s="103" t="s">
        <v>37</v>
      </c>
      <c r="E155" s="103" t="s">
        <v>116</v>
      </c>
      <c r="F155" s="103" t="s">
        <v>142</v>
      </c>
      <c r="G155" s="99" t="s">
        <v>143</v>
      </c>
      <c r="H155" s="115" t="s">
        <v>23</v>
      </c>
      <c r="I155" s="121" t="s">
        <v>573</v>
      </c>
      <c r="J155" s="122">
        <v>1997</v>
      </c>
      <c r="K155" s="116" t="s">
        <v>25</v>
      </c>
      <c r="L155" s="103">
        <v>3</v>
      </c>
      <c r="M155" s="103">
        <v>4</v>
      </c>
      <c r="N155" s="117">
        <v>500</v>
      </c>
      <c r="O155" s="118">
        <f t="shared" si="52"/>
        <v>8.3333333333333428</v>
      </c>
      <c r="P155" s="119">
        <v>218</v>
      </c>
      <c r="Q155" s="119">
        <v>232</v>
      </c>
      <c r="R155" s="119">
        <v>221</v>
      </c>
      <c r="S155" s="120">
        <f t="shared" si="56"/>
        <v>720</v>
      </c>
      <c r="T155" s="118">
        <f t="shared" si="60"/>
        <v>223.66666666666666</v>
      </c>
      <c r="U155" s="100">
        <f t="shared" si="55"/>
        <v>31</v>
      </c>
      <c r="V155" s="104">
        <v>381</v>
      </c>
      <c r="W155" s="104">
        <v>1500</v>
      </c>
      <c r="X155" s="104" t="s">
        <v>139</v>
      </c>
      <c r="Y155" s="104" t="s">
        <v>42</v>
      </c>
      <c r="Z155" s="1">
        <f t="shared" si="58"/>
        <v>12.5</v>
      </c>
      <c r="AA155" s="1">
        <f t="shared" si="59"/>
        <v>2.598076211353316</v>
      </c>
    </row>
    <row r="156" spans="1:27" s="49" customFormat="1" ht="16.5" customHeight="1" thickBot="1" x14ac:dyDescent="0.25">
      <c r="A156" s="84">
        <v>154</v>
      </c>
      <c r="B156" s="52" t="s">
        <v>35</v>
      </c>
      <c r="C156" s="41" t="s">
        <v>36</v>
      </c>
      <c r="D156" s="41" t="s">
        <v>37</v>
      </c>
      <c r="E156" s="41" t="s">
        <v>116</v>
      </c>
      <c r="F156" s="41" t="s">
        <v>142</v>
      </c>
      <c r="G156" s="42" t="s">
        <v>142</v>
      </c>
      <c r="H156" s="46" t="s">
        <v>23</v>
      </c>
      <c r="I156" s="63" t="s">
        <v>595</v>
      </c>
      <c r="J156" s="71">
        <v>1984</v>
      </c>
      <c r="K156" s="66" t="s">
        <v>25</v>
      </c>
      <c r="L156" s="41">
        <v>3</v>
      </c>
      <c r="M156" s="41">
        <v>2</v>
      </c>
      <c r="N156" s="47">
        <v>500</v>
      </c>
      <c r="O156" s="43">
        <f t="shared" si="52"/>
        <v>7</v>
      </c>
      <c r="P156" s="47">
        <v>233</v>
      </c>
      <c r="Q156" s="47">
        <v>217</v>
      </c>
      <c r="R156" s="47">
        <v>228</v>
      </c>
      <c r="S156" s="48">
        <f t="shared" si="56"/>
        <v>720</v>
      </c>
      <c r="T156" s="43">
        <f t="shared" si="60"/>
        <v>226</v>
      </c>
      <c r="U156" s="44">
        <f t="shared" si="55"/>
        <v>31</v>
      </c>
      <c r="V156" s="45">
        <v>382</v>
      </c>
      <c r="W156" s="45">
        <v>1500</v>
      </c>
      <c r="X156" s="45" t="s">
        <v>139</v>
      </c>
      <c r="Y156" s="45" t="s">
        <v>42</v>
      </c>
      <c r="Z156" s="1">
        <f t="shared" si="58"/>
        <v>-13.5</v>
      </c>
      <c r="AA156" s="1">
        <f t="shared" si="59"/>
        <v>-4.3301270189222123</v>
      </c>
    </row>
    <row r="157" spans="1:27" s="49" customFormat="1" ht="16.5" customHeight="1" thickBot="1" x14ac:dyDescent="0.25">
      <c r="A157" s="84">
        <v>155</v>
      </c>
      <c r="B157" s="52" t="s">
        <v>35</v>
      </c>
      <c r="C157" s="41" t="s">
        <v>36</v>
      </c>
      <c r="D157" s="41" t="s">
        <v>37</v>
      </c>
      <c r="E157" s="41" t="s">
        <v>116</v>
      </c>
      <c r="F157" s="41" t="s">
        <v>142</v>
      </c>
      <c r="G157" s="42" t="s">
        <v>447</v>
      </c>
      <c r="H157" s="46" t="s">
        <v>26</v>
      </c>
      <c r="I157" s="65"/>
      <c r="J157" s="73"/>
      <c r="K157" s="66" t="s">
        <v>25</v>
      </c>
      <c r="L157" s="41">
        <v>3</v>
      </c>
      <c r="M157" s="41"/>
      <c r="N157" s="47">
        <v>300</v>
      </c>
      <c r="O157" s="43">
        <f t="shared" si="52"/>
        <v>10</v>
      </c>
      <c r="P157" s="47">
        <v>176</v>
      </c>
      <c r="Q157" s="47">
        <v>187</v>
      </c>
      <c r="R157" s="47">
        <v>168</v>
      </c>
      <c r="S157" s="48">
        <f t="shared" si="56"/>
        <v>432</v>
      </c>
      <c r="T157" s="43">
        <f t="shared" si="60"/>
        <v>177</v>
      </c>
      <c r="U157" s="44">
        <f t="shared" si="55"/>
        <v>41</v>
      </c>
      <c r="V157" s="45">
        <v>382</v>
      </c>
      <c r="W157" s="45">
        <v>1500</v>
      </c>
      <c r="X157" s="45" t="s">
        <v>139</v>
      </c>
      <c r="Y157" s="45" t="s">
        <v>42</v>
      </c>
      <c r="Z157" s="1">
        <f t="shared" si="58"/>
        <v>15</v>
      </c>
      <c r="AA157" s="1">
        <f t="shared" si="59"/>
        <v>-6.9282032302754999</v>
      </c>
    </row>
    <row r="158" spans="1:27" s="49" customFormat="1" ht="16.5" customHeight="1" thickBot="1" x14ac:dyDescent="0.25">
      <c r="A158" s="84">
        <v>156</v>
      </c>
      <c r="B158" s="52" t="s">
        <v>35</v>
      </c>
      <c r="C158" s="41" t="s">
        <v>36</v>
      </c>
      <c r="D158" s="41" t="s">
        <v>37</v>
      </c>
      <c r="E158" s="41" t="s">
        <v>116</v>
      </c>
      <c r="F158" s="41" t="s">
        <v>142</v>
      </c>
      <c r="G158" s="42" t="s">
        <v>448</v>
      </c>
      <c r="H158" s="46" t="s">
        <v>26</v>
      </c>
      <c r="I158" s="65"/>
      <c r="J158" s="73"/>
      <c r="K158" s="66" t="s">
        <v>25</v>
      </c>
      <c r="L158" s="41">
        <v>3</v>
      </c>
      <c r="M158" s="41"/>
      <c r="N158" s="47">
        <v>500</v>
      </c>
      <c r="O158" s="43">
        <f t="shared" si="52"/>
        <v>6.3333333333333144</v>
      </c>
      <c r="P158" s="47">
        <v>300</v>
      </c>
      <c r="Q158" s="47">
        <v>295</v>
      </c>
      <c r="R158" s="47">
        <v>286</v>
      </c>
      <c r="S158" s="48">
        <f t="shared" si="56"/>
        <v>720</v>
      </c>
      <c r="T158" s="43">
        <f t="shared" si="60"/>
        <v>293.66666666666669</v>
      </c>
      <c r="U158" s="44">
        <f t="shared" si="55"/>
        <v>41</v>
      </c>
      <c r="V158" s="45">
        <v>382</v>
      </c>
      <c r="W158" s="45">
        <v>1500</v>
      </c>
      <c r="X158" s="45" t="s">
        <v>139</v>
      </c>
      <c r="Y158" s="45" t="s">
        <v>42</v>
      </c>
      <c r="Z158" s="1">
        <f t="shared" si="58"/>
        <v>2</v>
      </c>
      <c r="AA158" s="1">
        <f t="shared" si="59"/>
        <v>-12.12435565298216</v>
      </c>
    </row>
    <row r="159" spans="1:27" s="49" customFormat="1" ht="16.5" customHeight="1" thickBot="1" x14ac:dyDescent="0.3">
      <c r="A159" s="98">
        <v>157</v>
      </c>
      <c r="B159" s="102" t="s">
        <v>35</v>
      </c>
      <c r="C159" s="103" t="s">
        <v>36</v>
      </c>
      <c r="D159" s="103" t="s">
        <v>37</v>
      </c>
      <c r="E159" s="103" t="s">
        <v>116</v>
      </c>
      <c r="F159" s="103" t="s">
        <v>142</v>
      </c>
      <c r="G159" s="99" t="s">
        <v>144</v>
      </c>
      <c r="H159" s="115" t="s">
        <v>23</v>
      </c>
      <c r="I159" s="121"/>
      <c r="J159" s="122"/>
      <c r="K159" s="116" t="s">
        <v>25</v>
      </c>
      <c r="L159" s="103">
        <v>3</v>
      </c>
      <c r="M159" s="103">
        <v>3</v>
      </c>
      <c r="N159" s="117">
        <v>500</v>
      </c>
      <c r="O159" s="118">
        <f t="shared" si="52"/>
        <v>7</v>
      </c>
      <c r="P159" s="119">
        <v>252</v>
      </c>
      <c r="Q159" s="119">
        <v>249</v>
      </c>
      <c r="R159" s="119">
        <v>261</v>
      </c>
      <c r="S159" s="120">
        <f>1.44*N159</f>
        <v>720</v>
      </c>
      <c r="T159" s="118">
        <f>(R159+Q159+P159)/3</f>
        <v>254</v>
      </c>
      <c r="U159" s="100">
        <f t="shared" si="55"/>
        <v>35</v>
      </c>
      <c r="V159" s="104">
        <v>380</v>
      </c>
      <c r="W159" s="104">
        <v>1500</v>
      </c>
      <c r="X159" s="104" t="s">
        <v>139</v>
      </c>
      <c r="Y159" s="104" t="s">
        <v>42</v>
      </c>
      <c r="Z159" s="1">
        <f t="shared" si="58"/>
        <v>-7.5</v>
      </c>
      <c r="AA159" s="1">
        <f t="shared" si="59"/>
        <v>7.794228634059948</v>
      </c>
    </row>
    <row r="160" spans="1:27" s="49" customFormat="1" ht="16.5" customHeight="1" thickBot="1" x14ac:dyDescent="0.25">
      <c r="A160" s="98">
        <v>158</v>
      </c>
      <c r="B160" s="102" t="s">
        <v>35</v>
      </c>
      <c r="C160" s="103" t="s">
        <v>36</v>
      </c>
      <c r="D160" s="103" t="s">
        <v>37</v>
      </c>
      <c r="E160" s="103" t="s">
        <v>116</v>
      </c>
      <c r="F160" s="103" t="s">
        <v>142</v>
      </c>
      <c r="G160" s="99" t="s">
        <v>449</v>
      </c>
      <c r="H160" s="115" t="s">
        <v>26</v>
      </c>
      <c r="I160" s="124"/>
      <c r="J160" s="125"/>
      <c r="K160" s="116" t="s">
        <v>28</v>
      </c>
      <c r="L160" s="103">
        <v>3</v>
      </c>
      <c r="M160" s="103"/>
      <c r="N160" s="117">
        <v>1000</v>
      </c>
      <c r="O160" s="118" t="e">
        <f t="shared" si="52"/>
        <v>#DIV/0!</v>
      </c>
      <c r="P160" s="117"/>
      <c r="Q160" s="117"/>
      <c r="R160" s="117"/>
      <c r="S160" s="120">
        <f t="shared" ref="S160:S165" si="61">1.44*N160</f>
        <v>1440</v>
      </c>
      <c r="T160" s="118">
        <f>(R160+Q160+P160)/3</f>
        <v>0</v>
      </c>
      <c r="U160" s="100" t="e">
        <f t="shared" si="55"/>
        <v>#DIV/0!</v>
      </c>
      <c r="V160" s="104">
        <v>380</v>
      </c>
      <c r="W160" s="104">
        <v>1500</v>
      </c>
      <c r="X160" s="104" t="s">
        <v>139</v>
      </c>
      <c r="Y160" s="104" t="s">
        <v>42</v>
      </c>
      <c r="Z160" s="1">
        <f t="shared" si="58"/>
        <v>0</v>
      </c>
      <c r="AA160" s="1">
        <f t="shared" si="59"/>
        <v>0</v>
      </c>
    </row>
    <row r="161" spans="1:27" s="49" customFormat="1" ht="16.5" customHeight="1" thickBot="1" x14ac:dyDescent="0.25">
      <c r="A161" s="84">
        <v>159</v>
      </c>
      <c r="B161" s="52" t="s">
        <v>35</v>
      </c>
      <c r="C161" s="41" t="s">
        <v>36</v>
      </c>
      <c r="D161" s="41" t="s">
        <v>69</v>
      </c>
      <c r="E161" s="41" t="s">
        <v>116</v>
      </c>
      <c r="F161" s="41" t="s">
        <v>145</v>
      </c>
      <c r="G161" s="42" t="s">
        <v>146</v>
      </c>
      <c r="H161" s="46" t="s">
        <v>23</v>
      </c>
      <c r="I161" s="62"/>
      <c r="J161" s="70"/>
      <c r="K161" s="66" t="s">
        <v>28</v>
      </c>
      <c r="L161" s="41">
        <v>3</v>
      </c>
      <c r="M161" s="41">
        <v>5</v>
      </c>
      <c r="N161" s="47">
        <v>1000</v>
      </c>
      <c r="O161" s="43">
        <f t="shared" si="52"/>
        <v>8</v>
      </c>
      <c r="P161" s="47">
        <v>634</v>
      </c>
      <c r="Q161" s="47">
        <v>648</v>
      </c>
      <c r="R161" s="47">
        <v>638</v>
      </c>
      <c r="S161" s="48">
        <f t="shared" si="61"/>
        <v>1440</v>
      </c>
      <c r="T161" s="43">
        <f t="shared" ref="T161:T164" si="62">(R161+Q161+P161)/3</f>
        <v>640</v>
      </c>
      <c r="U161" s="44">
        <f t="shared" si="55"/>
        <v>44</v>
      </c>
      <c r="V161" s="45">
        <v>381</v>
      </c>
      <c r="W161" s="45">
        <v>1500</v>
      </c>
      <c r="X161" s="45" t="s">
        <v>139</v>
      </c>
      <c r="Y161" s="45" t="s">
        <v>42</v>
      </c>
      <c r="Z161" s="1">
        <f t="shared" si="58"/>
        <v>12</v>
      </c>
      <c r="AA161" s="1">
        <f t="shared" si="59"/>
        <v>3.4641016151377926</v>
      </c>
    </row>
    <row r="162" spans="1:27" s="49" customFormat="1" ht="16.5" customHeight="1" thickBot="1" x14ac:dyDescent="0.25">
      <c r="A162" s="84">
        <v>160</v>
      </c>
      <c r="B162" s="52" t="s">
        <v>35</v>
      </c>
      <c r="C162" s="41" t="s">
        <v>36</v>
      </c>
      <c r="D162" s="41" t="s">
        <v>69</v>
      </c>
      <c r="E162" s="41" t="s">
        <v>116</v>
      </c>
      <c r="F162" s="41" t="s">
        <v>145</v>
      </c>
      <c r="G162" s="42" t="s">
        <v>147</v>
      </c>
      <c r="H162" s="46" t="s">
        <v>23</v>
      </c>
      <c r="I162" s="62"/>
      <c r="J162" s="70"/>
      <c r="K162" s="66" t="s">
        <v>28</v>
      </c>
      <c r="L162" s="41">
        <v>3</v>
      </c>
      <c r="M162" s="41">
        <v>4</v>
      </c>
      <c r="N162" s="47">
        <v>1000</v>
      </c>
      <c r="O162" s="43">
        <f t="shared" si="52"/>
        <v>8.3333333333333712</v>
      </c>
      <c r="P162" s="47">
        <v>555</v>
      </c>
      <c r="Q162" s="47">
        <v>571</v>
      </c>
      <c r="R162" s="47">
        <v>562</v>
      </c>
      <c r="S162" s="48">
        <f t="shared" si="61"/>
        <v>1440</v>
      </c>
      <c r="T162" s="43">
        <f t="shared" si="62"/>
        <v>562.66666666666663</v>
      </c>
      <c r="U162" s="44">
        <f t="shared" si="55"/>
        <v>39</v>
      </c>
      <c r="V162" s="45">
        <v>380</v>
      </c>
      <c r="W162" s="45">
        <v>1500</v>
      </c>
      <c r="X162" s="45" t="s">
        <v>139</v>
      </c>
      <c r="Y162" s="45" t="s">
        <v>42</v>
      </c>
      <c r="Z162" s="1">
        <f t="shared" si="58"/>
        <v>12.5</v>
      </c>
      <c r="AA162" s="1">
        <f t="shared" si="59"/>
        <v>6.0621778264911086</v>
      </c>
    </row>
    <row r="163" spans="1:27" s="49" customFormat="1" ht="16.5" customHeight="1" thickBot="1" x14ac:dyDescent="0.25">
      <c r="A163" s="84">
        <v>161</v>
      </c>
      <c r="B163" s="52" t="s">
        <v>35</v>
      </c>
      <c r="C163" s="41" t="s">
        <v>36</v>
      </c>
      <c r="D163" s="41" t="s">
        <v>69</v>
      </c>
      <c r="E163" s="41" t="s">
        <v>116</v>
      </c>
      <c r="F163" s="41" t="s">
        <v>153</v>
      </c>
      <c r="G163" s="42" t="s">
        <v>451</v>
      </c>
      <c r="H163" s="46" t="s">
        <v>26</v>
      </c>
      <c r="I163" s="62"/>
      <c r="J163" s="70"/>
      <c r="K163" s="66" t="s">
        <v>28</v>
      </c>
      <c r="L163" s="41">
        <v>3</v>
      </c>
      <c r="M163" s="41"/>
      <c r="N163" s="47">
        <v>500</v>
      </c>
      <c r="O163" s="43">
        <f t="shared" si="52"/>
        <v>5.6666666666666856</v>
      </c>
      <c r="P163" s="47">
        <v>295</v>
      </c>
      <c r="Q163" s="47">
        <v>302</v>
      </c>
      <c r="R163" s="47">
        <v>307</v>
      </c>
      <c r="S163" s="48">
        <f t="shared" si="61"/>
        <v>720</v>
      </c>
      <c r="T163" s="43">
        <f t="shared" si="62"/>
        <v>301.33333333333331</v>
      </c>
      <c r="U163" s="44">
        <f t="shared" si="55"/>
        <v>42</v>
      </c>
      <c r="V163" s="45">
        <v>382</v>
      </c>
      <c r="W163" s="45">
        <v>1599</v>
      </c>
      <c r="X163" s="45" t="s">
        <v>41</v>
      </c>
      <c r="Y163" s="45" t="s">
        <v>42</v>
      </c>
      <c r="Z163" s="1">
        <f t="shared" si="58"/>
        <v>1</v>
      </c>
      <c r="AA163" s="1">
        <f t="shared" si="59"/>
        <v>10.392304845413264</v>
      </c>
    </row>
    <row r="164" spans="1:27" s="49" customFormat="1" ht="16.5" customHeight="1" thickBot="1" x14ac:dyDescent="0.25">
      <c r="A164" s="84">
        <v>162</v>
      </c>
      <c r="B164" s="52" t="s">
        <v>35</v>
      </c>
      <c r="C164" s="41" t="s">
        <v>36</v>
      </c>
      <c r="D164" s="41" t="s">
        <v>69</v>
      </c>
      <c r="E164" s="41" t="s">
        <v>116</v>
      </c>
      <c r="F164" s="41" t="s">
        <v>145</v>
      </c>
      <c r="G164" s="42" t="s">
        <v>603</v>
      </c>
      <c r="H164" s="46" t="s">
        <v>23</v>
      </c>
      <c r="I164" s="62"/>
      <c r="J164" s="70"/>
      <c r="K164" s="66" t="s">
        <v>25</v>
      </c>
      <c r="L164" s="41">
        <v>3</v>
      </c>
      <c r="M164" s="41">
        <v>3</v>
      </c>
      <c r="N164" s="47">
        <v>800</v>
      </c>
      <c r="O164" s="43">
        <f t="shared" si="52"/>
        <v>6.3333333333333144</v>
      </c>
      <c r="P164" s="47">
        <v>369</v>
      </c>
      <c r="Q164" s="47">
        <v>355</v>
      </c>
      <c r="R164" s="47">
        <v>364</v>
      </c>
      <c r="S164" s="48">
        <f t="shared" si="61"/>
        <v>1152</v>
      </c>
      <c r="T164" s="43">
        <f t="shared" si="62"/>
        <v>362.66666666666669</v>
      </c>
      <c r="U164" s="44">
        <f t="shared" si="55"/>
        <v>31</v>
      </c>
      <c r="V164" s="45">
        <v>380</v>
      </c>
      <c r="W164" s="45">
        <v>1500</v>
      </c>
      <c r="X164" s="45" t="s">
        <v>139</v>
      </c>
      <c r="Y164" s="45" t="s">
        <v>42</v>
      </c>
      <c r="Z164" s="1"/>
      <c r="AA164" s="1"/>
    </row>
    <row r="165" spans="1:27" s="49" customFormat="1" ht="16.5" customHeight="1" thickBot="1" x14ac:dyDescent="0.25">
      <c r="A165" s="84">
        <v>163</v>
      </c>
      <c r="B165" s="52" t="s">
        <v>35</v>
      </c>
      <c r="C165" s="41" t="s">
        <v>36</v>
      </c>
      <c r="D165" s="41" t="s">
        <v>69</v>
      </c>
      <c r="E165" s="41" t="s">
        <v>116</v>
      </c>
      <c r="F165" s="41" t="s">
        <v>153</v>
      </c>
      <c r="G165" s="42" t="s">
        <v>545</v>
      </c>
      <c r="H165" s="46" t="s">
        <v>23</v>
      </c>
      <c r="I165" s="82" t="s">
        <v>596</v>
      </c>
      <c r="J165" s="70">
        <v>2020</v>
      </c>
      <c r="K165" s="66" t="s">
        <v>28</v>
      </c>
      <c r="L165" s="41">
        <v>3</v>
      </c>
      <c r="M165" s="41">
        <v>1</v>
      </c>
      <c r="N165" s="47">
        <v>800</v>
      </c>
      <c r="O165" s="43">
        <f t="shared" si="52"/>
        <v>6.3333333333333144</v>
      </c>
      <c r="P165" s="47">
        <v>370</v>
      </c>
      <c r="Q165" s="47">
        <v>382</v>
      </c>
      <c r="R165" s="47">
        <v>375</v>
      </c>
      <c r="S165" s="48">
        <f t="shared" si="61"/>
        <v>1152</v>
      </c>
      <c r="T165" s="43">
        <f t="shared" ref="T165:T176" si="63">(R165+Q165+P165)/3</f>
        <v>375.66666666666669</v>
      </c>
      <c r="U165" s="44">
        <f t="shared" si="55"/>
        <v>33</v>
      </c>
      <c r="V165" s="45">
        <v>382</v>
      </c>
      <c r="W165" s="45">
        <v>1599</v>
      </c>
      <c r="X165" s="45" t="s">
        <v>41</v>
      </c>
      <c r="Y165" s="45" t="s">
        <v>42</v>
      </c>
      <c r="Z165" s="1"/>
      <c r="AA165" s="1"/>
    </row>
    <row r="166" spans="1:27" s="49" customFormat="1" ht="16.5" customHeight="1" thickBot="1" x14ac:dyDescent="0.3">
      <c r="A166" s="84">
        <v>164</v>
      </c>
      <c r="B166" s="52" t="s">
        <v>35</v>
      </c>
      <c r="C166" s="41" t="s">
        <v>36</v>
      </c>
      <c r="D166" s="41" t="s">
        <v>69</v>
      </c>
      <c r="E166" s="41" t="s">
        <v>116</v>
      </c>
      <c r="F166" s="41" t="s">
        <v>153</v>
      </c>
      <c r="G166" s="42" t="s">
        <v>154</v>
      </c>
      <c r="H166" s="46" t="s">
        <v>23</v>
      </c>
      <c r="I166" s="62" t="s">
        <v>573</v>
      </c>
      <c r="J166" s="70">
        <v>2015</v>
      </c>
      <c r="K166" s="66" t="s">
        <v>28</v>
      </c>
      <c r="L166" s="41">
        <v>3</v>
      </c>
      <c r="M166" s="41">
        <v>2</v>
      </c>
      <c r="N166" s="47">
        <v>500</v>
      </c>
      <c r="O166" s="43">
        <f t="shared" si="52"/>
        <v>6</v>
      </c>
      <c r="P166" s="57">
        <v>218</v>
      </c>
      <c r="Q166" s="57">
        <v>230</v>
      </c>
      <c r="R166" s="57">
        <v>224</v>
      </c>
      <c r="S166" s="48">
        <f t="shared" ref="S166:S176" si="64">1.44*N166</f>
        <v>720</v>
      </c>
      <c r="T166" s="43">
        <f t="shared" si="63"/>
        <v>224</v>
      </c>
      <c r="U166" s="44">
        <f t="shared" si="55"/>
        <v>31</v>
      </c>
      <c r="V166" s="45">
        <v>381</v>
      </c>
      <c r="W166" s="45">
        <v>1599</v>
      </c>
      <c r="X166" s="45" t="s">
        <v>41</v>
      </c>
      <c r="Y166" s="45" t="s">
        <v>42</v>
      </c>
      <c r="Z166" s="1">
        <f t="shared" si="58"/>
        <v>9</v>
      </c>
      <c r="AA166" s="1">
        <f t="shared" si="59"/>
        <v>5.196152422706632</v>
      </c>
    </row>
    <row r="167" spans="1:27" s="49" customFormat="1" ht="16.5" customHeight="1" thickBot="1" x14ac:dyDescent="0.3">
      <c r="A167" s="98">
        <v>165</v>
      </c>
      <c r="B167" s="102" t="s">
        <v>35</v>
      </c>
      <c r="C167" s="103" t="s">
        <v>36</v>
      </c>
      <c r="D167" s="103" t="s">
        <v>69</v>
      </c>
      <c r="E167" s="103" t="s">
        <v>116</v>
      </c>
      <c r="F167" s="103" t="s">
        <v>153</v>
      </c>
      <c r="G167" s="99" t="s">
        <v>153</v>
      </c>
      <c r="H167" s="115" t="s">
        <v>23</v>
      </c>
      <c r="I167" s="107"/>
      <c r="J167" s="108"/>
      <c r="K167" s="116" t="s">
        <v>28</v>
      </c>
      <c r="L167" s="103">
        <v>3</v>
      </c>
      <c r="M167" s="103">
        <v>1</v>
      </c>
      <c r="N167" s="117">
        <v>1000</v>
      </c>
      <c r="O167" s="118">
        <f t="shared" si="52"/>
        <v>5.3333333333333144</v>
      </c>
      <c r="P167" s="119">
        <v>454</v>
      </c>
      <c r="Q167" s="119">
        <v>442</v>
      </c>
      <c r="R167" s="119">
        <v>450</v>
      </c>
      <c r="S167" s="120">
        <f t="shared" si="64"/>
        <v>1440</v>
      </c>
      <c r="T167" s="118">
        <f t="shared" si="63"/>
        <v>448.66666666666669</v>
      </c>
      <c r="U167" s="100">
        <f t="shared" si="55"/>
        <v>31</v>
      </c>
      <c r="V167" s="104">
        <v>382</v>
      </c>
      <c r="W167" s="104">
        <v>1599</v>
      </c>
      <c r="X167" s="104" t="s">
        <v>41</v>
      </c>
      <c r="Y167" s="104" t="s">
        <v>42</v>
      </c>
      <c r="Z167" s="1">
        <f t="shared" si="58"/>
        <v>-10</v>
      </c>
      <c r="AA167" s="1">
        <f t="shared" si="59"/>
        <v>-3.4641016151377926</v>
      </c>
    </row>
    <row r="168" spans="1:27" s="49" customFormat="1" ht="16.5" customHeight="1" thickBot="1" x14ac:dyDescent="0.3">
      <c r="A168" s="84">
        <v>166</v>
      </c>
      <c r="B168" s="52" t="s">
        <v>35</v>
      </c>
      <c r="C168" s="41" t="s">
        <v>36</v>
      </c>
      <c r="D168" s="41" t="s">
        <v>69</v>
      </c>
      <c r="E168" s="41" t="s">
        <v>116</v>
      </c>
      <c r="F168" s="41" t="s">
        <v>153</v>
      </c>
      <c r="G168" s="42" t="s">
        <v>155</v>
      </c>
      <c r="H168" s="46" t="s">
        <v>23</v>
      </c>
      <c r="I168" s="62"/>
      <c r="J168" s="70"/>
      <c r="K168" s="66" t="s">
        <v>28</v>
      </c>
      <c r="L168" s="41">
        <v>3</v>
      </c>
      <c r="M168" s="41"/>
      <c r="N168" s="47">
        <v>500</v>
      </c>
      <c r="O168" s="43">
        <f t="shared" si="52"/>
        <v>6.6666666666666572</v>
      </c>
      <c r="P168" s="57">
        <v>232</v>
      </c>
      <c r="Q168" s="57">
        <v>239</v>
      </c>
      <c r="R168" s="57">
        <v>226</v>
      </c>
      <c r="S168" s="48">
        <f t="shared" si="64"/>
        <v>720</v>
      </c>
      <c r="T168" s="43">
        <f t="shared" si="63"/>
        <v>232.33333333333334</v>
      </c>
      <c r="U168" s="44">
        <f t="shared" si="55"/>
        <v>32</v>
      </c>
      <c r="V168" s="45">
        <v>382</v>
      </c>
      <c r="W168" s="45">
        <v>1599</v>
      </c>
      <c r="X168" s="45" t="s">
        <v>41</v>
      </c>
      <c r="Y168" s="45" t="s">
        <v>42</v>
      </c>
      <c r="Z168" s="1">
        <f t="shared" si="58"/>
        <v>10</v>
      </c>
      <c r="AA168" s="1">
        <f t="shared" si="59"/>
        <v>-5.196152422706632</v>
      </c>
    </row>
    <row r="169" spans="1:27" s="49" customFormat="1" ht="16.5" customHeight="1" thickBot="1" x14ac:dyDescent="0.3">
      <c r="A169" s="98">
        <v>167</v>
      </c>
      <c r="B169" s="102" t="s">
        <v>35</v>
      </c>
      <c r="C169" s="103" t="s">
        <v>36</v>
      </c>
      <c r="D169" s="103" t="s">
        <v>69</v>
      </c>
      <c r="E169" s="103" t="s">
        <v>116</v>
      </c>
      <c r="F169" s="103" t="s">
        <v>153</v>
      </c>
      <c r="G169" s="99" t="s">
        <v>156</v>
      </c>
      <c r="H169" s="115" t="s">
        <v>23</v>
      </c>
      <c r="I169" s="107"/>
      <c r="J169" s="108"/>
      <c r="K169" s="116" t="s">
        <v>28</v>
      </c>
      <c r="L169" s="103">
        <v>3</v>
      </c>
      <c r="M169" s="103"/>
      <c r="N169" s="117">
        <v>500</v>
      </c>
      <c r="O169" s="118">
        <f t="shared" si="52"/>
        <v>7.6666666666666572</v>
      </c>
      <c r="P169" s="119">
        <v>224</v>
      </c>
      <c r="Q169" s="119">
        <v>238</v>
      </c>
      <c r="R169" s="119">
        <v>229</v>
      </c>
      <c r="S169" s="120">
        <f t="shared" si="64"/>
        <v>720</v>
      </c>
      <c r="T169" s="118">
        <f t="shared" si="63"/>
        <v>230.33333333333334</v>
      </c>
      <c r="U169" s="100">
        <f t="shared" si="55"/>
        <v>32</v>
      </c>
      <c r="V169" s="104">
        <v>381</v>
      </c>
      <c r="W169" s="104">
        <v>1599</v>
      </c>
      <c r="X169" s="104" t="s">
        <v>41</v>
      </c>
      <c r="Y169" s="104" t="s">
        <v>42</v>
      </c>
      <c r="Z169" s="1">
        <f t="shared" si="58"/>
        <v>11.5</v>
      </c>
      <c r="AA169" s="1">
        <f t="shared" si="59"/>
        <v>4.3301270189221839</v>
      </c>
    </row>
    <row r="170" spans="1:27" s="49" customFormat="1" ht="16.5" customHeight="1" thickBot="1" x14ac:dyDescent="0.3">
      <c r="A170" s="98">
        <v>168</v>
      </c>
      <c r="B170" s="102" t="s">
        <v>35</v>
      </c>
      <c r="C170" s="103" t="s">
        <v>36</v>
      </c>
      <c r="D170" s="103" t="s">
        <v>69</v>
      </c>
      <c r="E170" s="103" t="s">
        <v>116</v>
      </c>
      <c r="F170" s="103" t="s">
        <v>153</v>
      </c>
      <c r="G170" s="99" t="s">
        <v>157</v>
      </c>
      <c r="H170" s="115" t="s">
        <v>23</v>
      </c>
      <c r="I170" s="107"/>
      <c r="J170" s="108"/>
      <c r="K170" s="116" t="s">
        <v>28</v>
      </c>
      <c r="L170" s="103">
        <v>3</v>
      </c>
      <c r="M170" s="103">
        <v>2</v>
      </c>
      <c r="N170" s="117">
        <v>500</v>
      </c>
      <c r="O170" s="118">
        <f t="shared" si="52"/>
        <v>5</v>
      </c>
      <c r="P170" s="119">
        <v>256</v>
      </c>
      <c r="Q170" s="119">
        <v>245</v>
      </c>
      <c r="R170" s="119">
        <v>252</v>
      </c>
      <c r="S170" s="120">
        <f t="shared" si="64"/>
        <v>720</v>
      </c>
      <c r="T170" s="118">
        <f t="shared" si="63"/>
        <v>251</v>
      </c>
      <c r="U170" s="100">
        <f t="shared" si="55"/>
        <v>35</v>
      </c>
      <c r="V170" s="104">
        <v>381</v>
      </c>
      <c r="W170" s="104">
        <v>1599</v>
      </c>
      <c r="X170" s="104" t="s">
        <v>41</v>
      </c>
      <c r="Y170" s="104" t="s">
        <v>42</v>
      </c>
      <c r="Z170" s="1">
        <f t="shared" si="58"/>
        <v>-9</v>
      </c>
      <c r="AA170" s="1">
        <f t="shared" si="59"/>
        <v>-3.4641016151377642</v>
      </c>
    </row>
    <row r="171" spans="1:27" s="49" customFormat="1" ht="16.5" customHeight="1" thickBot="1" x14ac:dyDescent="0.3">
      <c r="A171" s="98">
        <v>169</v>
      </c>
      <c r="B171" s="102" t="s">
        <v>35</v>
      </c>
      <c r="C171" s="103" t="s">
        <v>36</v>
      </c>
      <c r="D171" s="103" t="s">
        <v>69</v>
      </c>
      <c r="E171" s="103" t="s">
        <v>116</v>
      </c>
      <c r="F171" s="103" t="s">
        <v>153</v>
      </c>
      <c r="G171" s="99" t="s">
        <v>158</v>
      </c>
      <c r="H171" s="115" t="s">
        <v>23</v>
      </c>
      <c r="I171" s="107"/>
      <c r="J171" s="108"/>
      <c r="K171" s="116" t="s">
        <v>28</v>
      </c>
      <c r="L171" s="103">
        <v>3</v>
      </c>
      <c r="M171" s="103"/>
      <c r="N171" s="117">
        <v>500</v>
      </c>
      <c r="O171" s="118">
        <f t="shared" si="52"/>
        <v>6.3333333333333428</v>
      </c>
      <c r="P171" s="119">
        <v>223</v>
      </c>
      <c r="Q171" s="119">
        <v>235</v>
      </c>
      <c r="R171" s="119">
        <v>228</v>
      </c>
      <c r="S171" s="120">
        <f t="shared" si="64"/>
        <v>720</v>
      </c>
      <c r="T171" s="118">
        <f t="shared" si="63"/>
        <v>228.66666666666666</v>
      </c>
      <c r="U171" s="100">
        <f t="shared" si="55"/>
        <v>32</v>
      </c>
      <c r="V171" s="104">
        <v>380</v>
      </c>
      <c r="W171" s="104">
        <v>1599</v>
      </c>
      <c r="X171" s="104" t="s">
        <v>41</v>
      </c>
      <c r="Y171" s="104" t="s">
        <v>42</v>
      </c>
      <c r="Z171" s="1">
        <f t="shared" si="58"/>
        <v>9.5</v>
      </c>
      <c r="AA171" s="1">
        <f t="shared" si="59"/>
        <v>4.3301270189221839</v>
      </c>
    </row>
    <row r="172" spans="1:27" s="49" customFormat="1" ht="16.5" customHeight="1" thickBot="1" x14ac:dyDescent="0.3">
      <c r="A172" s="84">
        <v>170</v>
      </c>
      <c r="B172" s="52" t="s">
        <v>35</v>
      </c>
      <c r="C172" s="41" t="s">
        <v>36</v>
      </c>
      <c r="D172" s="41" t="s">
        <v>69</v>
      </c>
      <c r="E172" s="41" t="s">
        <v>116</v>
      </c>
      <c r="F172" s="41" t="s">
        <v>153</v>
      </c>
      <c r="G172" s="42" t="s">
        <v>159</v>
      </c>
      <c r="H172" s="46" t="s">
        <v>23</v>
      </c>
      <c r="I172" s="62"/>
      <c r="J172" s="70"/>
      <c r="K172" s="66" t="s">
        <v>28</v>
      </c>
      <c r="L172" s="41">
        <v>3</v>
      </c>
      <c r="M172" s="41">
        <v>1</v>
      </c>
      <c r="N172" s="47">
        <v>300</v>
      </c>
      <c r="O172" s="43">
        <f t="shared" si="52"/>
        <v>7</v>
      </c>
      <c r="P172" s="57">
        <v>137</v>
      </c>
      <c r="Q172" s="57">
        <v>138</v>
      </c>
      <c r="R172" s="57">
        <v>148</v>
      </c>
      <c r="S172" s="48">
        <f t="shared" si="64"/>
        <v>432</v>
      </c>
      <c r="T172" s="43">
        <f t="shared" si="63"/>
        <v>141</v>
      </c>
      <c r="U172" s="44">
        <f t="shared" si="55"/>
        <v>33</v>
      </c>
      <c r="V172" s="45">
        <v>381</v>
      </c>
      <c r="W172" s="45">
        <v>1599</v>
      </c>
      <c r="X172" s="45" t="s">
        <v>41</v>
      </c>
      <c r="Y172" s="45" t="s">
        <v>42</v>
      </c>
      <c r="Z172" s="1">
        <f t="shared" si="58"/>
        <v>-4.5</v>
      </c>
      <c r="AA172" s="1">
        <f t="shared" si="59"/>
        <v>9.5262794416288159</v>
      </c>
    </row>
    <row r="173" spans="1:27" s="49" customFormat="1" ht="16.5" customHeight="1" thickBot="1" x14ac:dyDescent="0.3">
      <c r="A173" s="84">
        <v>171</v>
      </c>
      <c r="B173" s="52" t="s">
        <v>35</v>
      </c>
      <c r="C173" s="41" t="s">
        <v>36</v>
      </c>
      <c r="D173" s="41" t="s">
        <v>69</v>
      </c>
      <c r="E173" s="41" t="s">
        <v>116</v>
      </c>
      <c r="F173" s="41" t="s">
        <v>153</v>
      </c>
      <c r="G173" s="42" t="s">
        <v>202</v>
      </c>
      <c r="H173" s="46" t="s">
        <v>23</v>
      </c>
      <c r="I173" s="62"/>
      <c r="J173" s="70"/>
      <c r="K173" s="66" t="s">
        <v>28</v>
      </c>
      <c r="L173" s="41">
        <v>3</v>
      </c>
      <c r="M173" s="41">
        <v>1</v>
      </c>
      <c r="N173" s="47">
        <v>300</v>
      </c>
      <c r="O173" s="43">
        <f t="shared" si="52"/>
        <v>6</v>
      </c>
      <c r="P173" s="57">
        <v>138</v>
      </c>
      <c r="Q173" s="57">
        <v>142</v>
      </c>
      <c r="R173" s="57">
        <v>149</v>
      </c>
      <c r="S173" s="48">
        <f t="shared" si="64"/>
        <v>432</v>
      </c>
      <c r="T173" s="43">
        <f t="shared" si="63"/>
        <v>143</v>
      </c>
      <c r="U173" s="44">
        <f t="shared" si="55"/>
        <v>33</v>
      </c>
      <c r="V173" s="45">
        <v>380</v>
      </c>
      <c r="W173" s="45">
        <v>1700</v>
      </c>
      <c r="X173" s="45" t="s">
        <v>41</v>
      </c>
      <c r="Y173" s="45" t="s">
        <v>42</v>
      </c>
      <c r="Z173" s="1"/>
      <c r="AA173" s="1"/>
    </row>
    <row r="174" spans="1:27" s="49" customFormat="1" ht="16.5" customHeight="1" thickBot="1" x14ac:dyDescent="0.3">
      <c r="A174" s="84">
        <v>172</v>
      </c>
      <c r="B174" s="52" t="s">
        <v>35</v>
      </c>
      <c r="C174" s="41" t="s">
        <v>36</v>
      </c>
      <c r="D174" s="41" t="s">
        <v>69</v>
      </c>
      <c r="E174" s="41" t="s">
        <v>116</v>
      </c>
      <c r="F174" s="41" t="s">
        <v>153</v>
      </c>
      <c r="G174" s="42" t="s">
        <v>203</v>
      </c>
      <c r="H174" s="46" t="s">
        <v>23</v>
      </c>
      <c r="I174" s="62"/>
      <c r="J174" s="70"/>
      <c r="K174" s="66" t="s">
        <v>28</v>
      </c>
      <c r="L174" s="41">
        <v>3</v>
      </c>
      <c r="M174" s="41">
        <v>1</v>
      </c>
      <c r="N174" s="47">
        <v>300</v>
      </c>
      <c r="O174" s="43">
        <f t="shared" si="52"/>
        <v>6.6666666666666572</v>
      </c>
      <c r="P174" s="57">
        <v>130</v>
      </c>
      <c r="Q174" s="57">
        <v>141</v>
      </c>
      <c r="R174" s="57">
        <v>132</v>
      </c>
      <c r="S174" s="48">
        <f t="shared" si="64"/>
        <v>432</v>
      </c>
      <c r="T174" s="43">
        <f t="shared" si="63"/>
        <v>134.33333333333334</v>
      </c>
      <c r="U174" s="44">
        <f t="shared" si="55"/>
        <v>31</v>
      </c>
      <c r="V174" s="45">
        <v>381</v>
      </c>
      <c r="W174" s="45">
        <v>1700</v>
      </c>
      <c r="X174" s="45" t="s">
        <v>41</v>
      </c>
      <c r="Y174" s="45" t="s">
        <v>42</v>
      </c>
      <c r="Z174" s="1"/>
      <c r="AA174" s="1"/>
    </row>
    <row r="175" spans="1:27" s="49" customFormat="1" ht="15.6" customHeight="1" thickBot="1" x14ac:dyDescent="0.3">
      <c r="A175" s="84">
        <v>173</v>
      </c>
      <c r="B175" s="52" t="s">
        <v>35</v>
      </c>
      <c r="C175" s="41" t="s">
        <v>36</v>
      </c>
      <c r="D175" s="41" t="s">
        <v>69</v>
      </c>
      <c r="E175" s="41" t="s">
        <v>116</v>
      </c>
      <c r="F175" s="41" t="s">
        <v>153</v>
      </c>
      <c r="G175" s="42" t="s">
        <v>160</v>
      </c>
      <c r="H175" s="46" t="s">
        <v>23</v>
      </c>
      <c r="I175" s="62"/>
      <c r="J175" s="70"/>
      <c r="K175" s="66" t="s">
        <v>28</v>
      </c>
      <c r="L175" s="41">
        <v>3</v>
      </c>
      <c r="M175" s="41"/>
      <c r="N175" s="47">
        <v>500</v>
      </c>
      <c r="O175" s="43">
        <f t="shared" si="52"/>
        <v>8.3333333333333428</v>
      </c>
      <c r="P175" s="57">
        <v>236</v>
      </c>
      <c r="Q175" s="57">
        <v>218</v>
      </c>
      <c r="R175" s="57">
        <v>229</v>
      </c>
      <c r="S175" s="86">
        <f t="shared" si="64"/>
        <v>720</v>
      </c>
      <c r="T175" s="87">
        <f t="shared" si="63"/>
        <v>227.66666666666666</v>
      </c>
      <c r="U175" s="44">
        <f t="shared" si="55"/>
        <v>32</v>
      </c>
      <c r="V175" s="45">
        <v>380</v>
      </c>
      <c r="W175" s="45">
        <v>1599</v>
      </c>
      <c r="X175" s="45" t="s">
        <v>41</v>
      </c>
      <c r="Y175" s="45" t="s">
        <v>42</v>
      </c>
      <c r="Z175" s="1">
        <f t="shared" si="58"/>
        <v>-14.5</v>
      </c>
      <c r="AA175" s="1">
        <f t="shared" si="59"/>
        <v>-6.0621778264910802</v>
      </c>
    </row>
    <row r="176" spans="1:27" s="49" customFormat="1" ht="16.5" customHeight="1" thickBot="1" x14ac:dyDescent="0.25">
      <c r="A176" s="84">
        <v>174</v>
      </c>
      <c r="B176" s="52" t="s">
        <v>35</v>
      </c>
      <c r="C176" s="41" t="s">
        <v>36</v>
      </c>
      <c r="D176" s="41" t="s">
        <v>69</v>
      </c>
      <c r="E176" s="41" t="s">
        <v>116</v>
      </c>
      <c r="F176" s="41" t="s">
        <v>161</v>
      </c>
      <c r="G176" s="42" t="s">
        <v>162</v>
      </c>
      <c r="H176" s="46" t="s">
        <v>23</v>
      </c>
      <c r="I176" s="62" t="s">
        <v>573</v>
      </c>
      <c r="J176" s="70">
        <v>2015</v>
      </c>
      <c r="K176" s="66" t="s">
        <v>28</v>
      </c>
      <c r="L176" s="41">
        <v>3</v>
      </c>
      <c r="M176" s="41">
        <v>2</v>
      </c>
      <c r="N176" s="47">
        <v>1000</v>
      </c>
      <c r="O176" s="43">
        <f t="shared" si="52"/>
        <v>7.6666666666666856</v>
      </c>
      <c r="P176" s="92">
        <v>458</v>
      </c>
      <c r="Q176" s="92">
        <v>442</v>
      </c>
      <c r="R176" s="92">
        <v>451</v>
      </c>
      <c r="S176" s="86">
        <f t="shared" si="64"/>
        <v>1440</v>
      </c>
      <c r="T176" s="87">
        <f t="shared" si="63"/>
        <v>450.33333333333331</v>
      </c>
      <c r="U176" s="88">
        <f t="shared" si="55"/>
        <v>31</v>
      </c>
      <c r="V176" s="45">
        <v>383</v>
      </c>
      <c r="W176" s="45">
        <v>1599</v>
      </c>
      <c r="X176" s="45" t="s">
        <v>41</v>
      </c>
      <c r="Y176" s="45" t="s">
        <v>42</v>
      </c>
      <c r="Z176" s="1">
        <f t="shared" si="58"/>
        <v>-12.5</v>
      </c>
      <c r="AA176" s="1">
        <f t="shared" si="59"/>
        <v>-6.0621778264910517</v>
      </c>
    </row>
    <row r="177" spans="1:27" s="49" customFormat="1" ht="16.5" customHeight="1" thickBot="1" x14ac:dyDescent="0.25">
      <c r="A177" s="84">
        <v>175</v>
      </c>
      <c r="B177" s="52" t="s">
        <v>35</v>
      </c>
      <c r="C177" s="41" t="s">
        <v>36</v>
      </c>
      <c r="D177" s="41" t="s">
        <v>69</v>
      </c>
      <c r="E177" s="41" t="s">
        <v>116</v>
      </c>
      <c r="F177" s="41" t="s">
        <v>161</v>
      </c>
      <c r="G177" s="42" t="s">
        <v>163</v>
      </c>
      <c r="H177" s="46" t="s">
        <v>23</v>
      </c>
      <c r="I177" s="62" t="s">
        <v>573</v>
      </c>
      <c r="J177" s="70">
        <v>2016</v>
      </c>
      <c r="K177" s="66" t="s">
        <v>28</v>
      </c>
      <c r="L177" s="41">
        <v>3</v>
      </c>
      <c r="M177" s="41">
        <v>3</v>
      </c>
      <c r="N177" s="47">
        <v>1500</v>
      </c>
      <c r="O177" s="43">
        <f t="shared" si="52"/>
        <v>6.3333333333333712</v>
      </c>
      <c r="P177" s="92">
        <v>668</v>
      </c>
      <c r="Q177" s="92">
        <v>652</v>
      </c>
      <c r="R177" s="92">
        <v>665</v>
      </c>
      <c r="S177" s="91">
        <f>1.44*N177</f>
        <v>2160</v>
      </c>
      <c r="T177" s="90">
        <f>(R177+Q177+P177)/3</f>
        <v>661.66666666666663</v>
      </c>
      <c r="U177" s="44">
        <f t="shared" si="55"/>
        <v>31</v>
      </c>
      <c r="V177" s="45">
        <v>383</v>
      </c>
      <c r="W177" s="45">
        <v>1599</v>
      </c>
      <c r="X177" s="45" t="s">
        <v>41</v>
      </c>
      <c r="Y177" s="45" t="s">
        <v>42</v>
      </c>
      <c r="Z177" s="1">
        <f t="shared" si="58"/>
        <v>-14.5</v>
      </c>
      <c r="AA177" s="1">
        <f t="shared" si="59"/>
        <v>-2.5980762113533729</v>
      </c>
    </row>
    <row r="178" spans="1:27" s="49" customFormat="1" ht="16.5" customHeight="1" thickBot="1" x14ac:dyDescent="0.25">
      <c r="A178" s="98">
        <v>176</v>
      </c>
      <c r="B178" s="102" t="s">
        <v>35</v>
      </c>
      <c r="C178" s="103" t="s">
        <v>36</v>
      </c>
      <c r="D178" s="103" t="s">
        <v>37</v>
      </c>
      <c r="E178" s="103" t="s">
        <v>116</v>
      </c>
      <c r="F178" s="103" t="s">
        <v>164</v>
      </c>
      <c r="G178" s="99" t="s">
        <v>164</v>
      </c>
      <c r="H178" s="115" t="s">
        <v>23</v>
      </c>
      <c r="I178" s="107" t="s">
        <v>573</v>
      </c>
      <c r="J178" s="108">
        <v>2019</v>
      </c>
      <c r="K178" s="116" t="s">
        <v>28</v>
      </c>
      <c r="L178" s="103">
        <v>3</v>
      </c>
      <c r="M178" s="103">
        <v>6</v>
      </c>
      <c r="N178" s="117">
        <v>1000</v>
      </c>
      <c r="O178" s="118">
        <f t="shared" si="52"/>
        <v>7.3333333333333712</v>
      </c>
      <c r="P178" s="117">
        <v>631</v>
      </c>
      <c r="Q178" s="117">
        <v>614</v>
      </c>
      <c r="R178" s="117">
        <v>626</v>
      </c>
      <c r="S178" s="120">
        <f t="shared" ref="S178:S185" si="65">1.44*N178</f>
        <v>1440</v>
      </c>
      <c r="T178" s="118">
        <f t="shared" ref="T178:T185" si="66">(R178+Q178+P178)/3</f>
        <v>623.66666666666663</v>
      </c>
      <c r="U178" s="100">
        <f t="shared" si="55"/>
        <v>43</v>
      </c>
      <c r="V178" s="104">
        <v>382</v>
      </c>
      <c r="W178" s="104">
        <v>1500</v>
      </c>
      <c r="X178" s="104" t="s">
        <v>139</v>
      </c>
      <c r="Y178" s="104" t="s">
        <v>42</v>
      </c>
      <c r="Z178" s="1">
        <f t="shared" si="58"/>
        <v>-14.5</v>
      </c>
      <c r="AA178" s="1">
        <f t="shared" si="59"/>
        <v>-4.3301270189222123</v>
      </c>
    </row>
    <row r="179" spans="1:27" s="49" customFormat="1" ht="16.5" customHeight="1" thickBot="1" x14ac:dyDescent="0.25">
      <c r="A179" s="84">
        <v>177</v>
      </c>
      <c r="B179" s="52" t="s">
        <v>35</v>
      </c>
      <c r="C179" s="41" t="s">
        <v>36</v>
      </c>
      <c r="D179" s="41" t="s">
        <v>37</v>
      </c>
      <c r="E179" s="41" t="s">
        <v>116</v>
      </c>
      <c r="F179" s="41" t="s">
        <v>164</v>
      </c>
      <c r="G179" s="42" t="s">
        <v>165</v>
      </c>
      <c r="H179" s="46" t="s">
        <v>23</v>
      </c>
      <c r="I179" s="63" t="s">
        <v>573</v>
      </c>
      <c r="J179" s="71">
        <v>2002</v>
      </c>
      <c r="K179" s="66" t="s">
        <v>25</v>
      </c>
      <c r="L179" s="41">
        <v>3</v>
      </c>
      <c r="M179" s="41">
        <v>4</v>
      </c>
      <c r="N179" s="47">
        <v>1000</v>
      </c>
      <c r="O179" s="43">
        <f t="shared" si="52"/>
        <v>7</v>
      </c>
      <c r="P179" s="47">
        <v>579</v>
      </c>
      <c r="Q179" s="47">
        <v>572</v>
      </c>
      <c r="R179" s="47">
        <v>586</v>
      </c>
      <c r="S179" s="48">
        <f t="shared" si="65"/>
        <v>1440</v>
      </c>
      <c r="T179" s="43">
        <f t="shared" si="66"/>
        <v>579</v>
      </c>
      <c r="U179" s="44">
        <f t="shared" si="55"/>
        <v>40</v>
      </c>
      <c r="V179" s="45">
        <v>380</v>
      </c>
      <c r="W179" s="45">
        <v>1500</v>
      </c>
      <c r="X179" s="45" t="s">
        <v>139</v>
      </c>
      <c r="Y179" s="45" t="s">
        <v>42</v>
      </c>
      <c r="Z179" s="1">
        <f t="shared" si="58"/>
        <v>-10.5</v>
      </c>
      <c r="AA179" s="1">
        <f t="shared" si="59"/>
        <v>6.0621778264911086</v>
      </c>
    </row>
    <row r="180" spans="1:27" s="49" customFormat="1" ht="16.5" customHeight="1" thickBot="1" x14ac:dyDescent="0.25">
      <c r="A180" s="98">
        <v>178</v>
      </c>
      <c r="B180" s="102" t="s">
        <v>35</v>
      </c>
      <c r="C180" s="103" t="s">
        <v>36</v>
      </c>
      <c r="D180" s="103" t="s">
        <v>37</v>
      </c>
      <c r="E180" s="103" t="s">
        <v>116</v>
      </c>
      <c r="F180" s="103" t="s">
        <v>164</v>
      </c>
      <c r="G180" s="99" t="s">
        <v>166</v>
      </c>
      <c r="H180" s="115" t="s">
        <v>23</v>
      </c>
      <c r="I180" s="121" t="s">
        <v>573</v>
      </c>
      <c r="J180" s="122">
        <v>2000</v>
      </c>
      <c r="K180" s="116" t="s">
        <v>25</v>
      </c>
      <c r="L180" s="103">
        <v>3</v>
      </c>
      <c r="M180" s="103">
        <v>4</v>
      </c>
      <c r="N180" s="117">
        <v>500</v>
      </c>
      <c r="O180" s="118">
        <f t="shared" si="52"/>
        <v>8</v>
      </c>
      <c r="P180" s="117">
        <v>370</v>
      </c>
      <c r="Q180" s="117">
        <v>385</v>
      </c>
      <c r="R180" s="117">
        <v>376</v>
      </c>
      <c r="S180" s="120">
        <f t="shared" si="65"/>
        <v>720</v>
      </c>
      <c r="T180" s="118">
        <f t="shared" si="66"/>
        <v>377</v>
      </c>
      <c r="U180" s="100">
        <f t="shared" si="55"/>
        <v>52</v>
      </c>
      <c r="V180" s="104">
        <v>380</v>
      </c>
      <c r="W180" s="104">
        <v>1500</v>
      </c>
      <c r="X180" s="104" t="s">
        <v>139</v>
      </c>
      <c r="Y180" s="104" t="s">
        <v>42</v>
      </c>
      <c r="Z180" s="1">
        <f t="shared" si="58"/>
        <v>12</v>
      </c>
      <c r="AA180" s="1">
        <f t="shared" si="59"/>
        <v>5.196152422706632</v>
      </c>
    </row>
    <row r="181" spans="1:27" s="49" customFormat="1" ht="16.5" customHeight="1" thickBot="1" x14ac:dyDescent="0.25">
      <c r="A181" s="98">
        <v>179</v>
      </c>
      <c r="B181" s="102" t="s">
        <v>35</v>
      </c>
      <c r="C181" s="103" t="s">
        <v>36</v>
      </c>
      <c r="D181" s="103" t="s">
        <v>37</v>
      </c>
      <c r="E181" s="103" t="s">
        <v>116</v>
      </c>
      <c r="F181" s="103" t="s">
        <v>164</v>
      </c>
      <c r="G181" s="99" t="s">
        <v>167</v>
      </c>
      <c r="H181" s="115" t="s">
        <v>23</v>
      </c>
      <c r="I181" s="121" t="s">
        <v>573</v>
      </c>
      <c r="J181" s="122">
        <v>2025</v>
      </c>
      <c r="K181" s="116" t="s">
        <v>25</v>
      </c>
      <c r="L181" s="103">
        <v>3</v>
      </c>
      <c r="M181" s="103">
        <v>2</v>
      </c>
      <c r="N181" s="117">
        <v>1000</v>
      </c>
      <c r="O181" s="118">
        <f t="shared" si="52"/>
        <v>7</v>
      </c>
      <c r="P181" s="117">
        <v>720</v>
      </c>
      <c r="Q181" s="117">
        <v>712</v>
      </c>
      <c r="R181" s="117">
        <v>707</v>
      </c>
      <c r="S181" s="120">
        <f t="shared" si="65"/>
        <v>1440</v>
      </c>
      <c r="T181" s="118">
        <f t="shared" si="66"/>
        <v>713</v>
      </c>
      <c r="U181" s="100">
        <f t="shared" si="55"/>
        <v>50</v>
      </c>
      <c r="V181" s="104">
        <v>380</v>
      </c>
      <c r="W181" s="104">
        <v>1500</v>
      </c>
      <c r="X181" s="104" t="s">
        <v>139</v>
      </c>
      <c r="Y181" s="104" t="s">
        <v>42</v>
      </c>
      <c r="Z181" s="1">
        <f t="shared" si="58"/>
        <v>-1.5</v>
      </c>
      <c r="AA181" s="1">
        <f t="shared" si="59"/>
        <v>-11.258330249197797</v>
      </c>
    </row>
    <row r="182" spans="1:27" s="49" customFormat="1" ht="16.5" customHeight="1" thickBot="1" x14ac:dyDescent="0.25">
      <c r="A182" s="98">
        <v>180</v>
      </c>
      <c r="B182" s="102" t="s">
        <v>35</v>
      </c>
      <c r="C182" s="103" t="s">
        <v>36</v>
      </c>
      <c r="D182" s="103" t="s">
        <v>37</v>
      </c>
      <c r="E182" s="103" t="s">
        <v>116</v>
      </c>
      <c r="F182" s="103" t="s">
        <v>164</v>
      </c>
      <c r="G182" s="99" t="s">
        <v>168</v>
      </c>
      <c r="H182" s="115" t="s">
        <v>23</v>
      </c>
      <c r="I182" s="128" t="s">
        <v>593</v>
      </c>
      <c r="J182" s="122">
        <v>2025</v>
      </c>
      <c r="K182" s="116" t="s">
        <v>25</v>
      </c>
      <c r="L182" s="103">
        <v>3</v>
      </c>
      <c r="M182" s="103">
        <v>4</v>
      </c>
      <c r="N182" s="117">
        <v>800</v>
      </c>
      <c r="O182" s="118">
        <f t="shared" si="52"/>
        <v>5</v>
      </c>
      <c r="P182" s="117">
        <v>463</v>
      </c>
      <c r="Q182" s="117">
        <v>460</v>
      </c>
      <c r="R182" s="117">
        <v>451</v>
      </c>
      <c r="S182" s="120">
        <f t="shared" si="65"/>
        <v>1152</v>
      </c>
      <c r="T182" s="118">
        <f t="shared" si="66"/>
        <v>458</v>
      </c>
      <c r="U182" s="100">
        <f t="shared" si="55"/>
        <v>40</v>
      </c>
      <c r="V182" s="104">
        <v>381</v>
      </c>
      <c r="W182" s="104">
        <v>1500</v>
      </c>
      <c r="X182" s="104" t="s">
        <v>139</v>
      </c>
      <c r="Y182" s="104" t="s">
        <v>42</v>
      </c>
      <c r="Z182" s="1">
        <f t="shared" si="58"/>
        <v>3</v>
      </c>
      <c r="AA182" s="1">
        <f t="shared" si="59"/>
        <v>-10.392304845413264</v>
      </c>
    </row>
    <row r="183" spans="1:27" s="49" customFormat="1" ht="16.5" customHeight="1" thickBot="1" x14ac:dyDescent="0.25">
      <c r="A183" s="84">
        <v>181</v>
      </c>
      <c r="B183" s="52" t="s">
        <v>35</v>
      </c>
      <c r="C183" s="41" t="s">
        <v>36</v>
      </c>
      <c r="D183" s="41" t="s">
        <v>37</v>
      </c>
      <c r="E183" s="41" t="s">
        <v>116</v>
      </c>
      <c r="F183" s="41" t="s">
        <v>164</v>
      </c>
      <c r="G183" s="42" t="s">
        <v>169</v>
      </c>
      <c r="H183" s="46" t="s">
        <v>23</v>
      </c>
      <c r="I183" s="63" t="s">
        <v>573</v>
      </c>
      <c r="J183" s="71">
        <v>2000</v>
      </c>
      <c r="K183" s="66" t="s">
        <v>25</v>
      </c>
      <c r="L183" s="41">
        <v>3</v>
      </c>
      <c r="M183" s="41">
        <v>5</v>
      </c>
      <c r="N183" s="47">
        <v>800</v>
      </c>
      <c r="O183" s="43">
        <f t="shared" si="52"/>
        <v>6.3333333333333712</v>
      </c>
      <c r="P183" s="47">
        <v>531</v>
      </c>
      <c r="Q183" s="47">
        <v>519</v>
      </c>
      <c r="R183" s="47">
        <v>524</v>
      </c>
      <c r="S183" s="48">
        <f t="shared" si="65"/>
        <v>1152</v>
      </c>
      <c r="T183" s="43">
        <f t="shared" si="66"/>
        <v>524.66666666666663</v>
      </c>
      <c r="U183" s="44">
        <f t="shared" si="55"/>
        <v>46</v>
      </c>
      <c r="V183" s="45">
        <v>381</v>
      </c>
      <c r="W183" s="45">
        <v>1500</v>
      </c>
      <c r="X183" s="45" t="s">
        <v>139</v>
      </c>
      <c r="Y183" s="45" t="s">
        <v>42</v>
      </c>
      <c r="Z183" s="1">
        <f t="shared" si="58"/>
        <v>-8.5</v>
      </c>
      <c r="AA183" s="1">
        <f t="shared" si="59"/>
        <v>-6.0621778264910517</v>
      </c>
    </row>
    <row r="184" spans="1:27" s="49" customFormat="1" ht="16.5" customHeight="1" thickBot="1" x14ac:dyDescent="0.25">
      <c r="A184" s="98">
        <v>182</v>
      </c>
      <c r="B184" s="102" t="s">
        <v>35</v>
      </c>
      <c r="C184" s="103" t="s">
        <v>36</v>
      </c>
      <c r="D184" s="103" t="s">
        <v>37</v>
      </c>
      <c r="E184" s="103" t="s">
        <v>116</v>
      </c>
      <c r="F184" s="103" t="s">
        <v>164</v>
      </c>
      <c r="G184" s="99" t="s">
        <v>170</v>
      </c>
      <c r="H184" s="115" t="s">
        <v>23</v>
      </c>
      <c r="I184" s="121"/>
      <c r="J184" s="122"/>
      <c r="K184" s="116" t="s">
        <v>25</v>
      </c>
      <c r="L184" s="103">
        <v>3</v>
      </c>
      <c r="M184" s="103">
        <v>3</v>
      </c>
      <c r="N184" s="117">
        <v>500</v>
      </c>
      <c r="O184" s="118">
        <f t="shared" si="52"/>
        <v>7</v>
      </c>
      <c r="P184" s="117">
        <v>538</v>
      </c>
      <c r="Q184" s="117">
        <v>541</v>
      </c>
      <c r="R184" s="117">
        <v>550</v>
      </c>
      <c r="S184" s="120">
        <f t="shared" si="65"/>
        <v>720</v>
      </c>
      <c r="T184" s="118">
        <f t="shared" si="66"/>
        <v>543</v>
      </c>
      <c r="U184" s="100">
        <f t="shared" si="55"/>
        <v>75</v>
      </c>
      <c r="V184" s="104">
        <v>382</v>
      </c>
      <c r="W184" s="104">
        <v>1500</v>
      </c>
      <c r="X184" s="104" t="s">
        <v>139</v>
      </c>
      <c r="Y184" s="104" t="s">
        <v>42</v>
      </c>
      <c r="Z184" s="1">
        <f t="shared" si="58"/>
        <v>-3</v>
      </c>
      <c r="AA184" s="1">
        <f t="shared" si="59"/>
        <v>10.392304845413264</v>
      </c>
    </row>
    <row r="185" spans="1:27" s="123" customFormat="1" ht="16.5" customHeight="1" thickBot="1" x14ac:dyDescent="0.25">
      <c r="A185" s="98">
        <v>183</v>
      </c>
      <c r="B185" s="102" t="s">
        <v>35</v>
      </c>
      <c r="C185" s="103" t="s">
        <v>36</v>
      </c>
      <c r="D185" s="103" t="s">
        <v>37</v>
      </c>
      <c r="E185" s="103" t="s">
        <v>116</v>
      </c>
      <c r="F185" s="103" t="s">
        <v>164</v>
      </c>
      <c r="G185" s="99" t="s">
        <v>238</v>
      </c>
      <c r="H185" s="115" t="s">
        <v>26</v>
      </c>
      <c r="I185" s="107"/>
      <c r="J185" s="108"/>
      <c r="K185" s="116" t="s">
        <v>28</v>
      </c>
      <c r="L185" s="103">
        <v>3</v>
      </c>
      <c r="M185" s="103"/>
      <c r="N185" s="117">
        <v>500</v>
      </c>
      <c r="O185" s="118">
        <f t="shared" si="52"/>
        <v>11.333333333333314</v>
      </c>
      <c r="P185" s="117">
        <v>307</v>
      </c>
      <c r="Q185" s="117">
        <v>289</v>
      </c>
      <c r="R185" s="117">
        <v>315</v>
      </c>
      <c r="S185" s="120">
        <f t="shared" si="65"/>
        <v>720</v>
      </c>
      <c r="T185" s="118">
        <f t="shared" si="66"/>
        <v>303.66666666666669</v>
      </c>
      <c r="U185" s="100">
        <f t="shared" si="55"/>
        <v>42</v>
      </c>
      <c r="V185" s="104">
        <v>382</v>
      </c>
      <c r="W185" s="104">
        <v>1500</v>
      </c>
      <c r="X185" s="104" t="s">
        <v>139</v>
      </c>
      <c r="Y185" s="104" t="s">
        <v>42</v>
      </c>
      <c r="Z185" s="1">
        <f t="shared" si="58"/>
        <v>-22</v>
      </c>
      <c r="AA185" s="1">
        <f t="shared" si="59"/>
        <v>6.9282032302755283</v>
      </c>
    </row>
    <row r="186" spans="1:27" s="49" customFormat="1" ht="16.5" customHeight="1" thickBot="1" x14ac:dyDescent="0.25">
      <c r="A186" s="84">
        <v>184</v>
      </c>
      <c r="B186" s="52" t="s">
        <v>35</v>
      </c>
      <c r="C186" s="41" t="s">
        <v>36</v>
      </c>
      <c r="D186" s="41" t="s">
        <v>37</v>
      </c>
      <c r="E186" s="41" t="s">
        <v>116</v>
      </c>
      <c r="F186" s="41" t="s">
        <v>171</v>
      </c>
      <c r="G186" s="42" t="s">
        <v>172</v>
      </c>
      <c r="H186" s="46" t="s">
        <v>23</v>
      </c>
      <c r="I186" s="63"/>
      <c r="J186" s="71"/>
      <c r="K186" s="66" t="s">
        <v>25</v>
      </c>
      <c r="L186" s="41">
        <v>3</v>
      </c>
      <c r="M186" s="41">
        <v>4</v>
      </c>
      <c r="N186" s="47">
        <v>1000</v>
      </c>
      <c r="O186" s="43">
        <f t="shared" si="52"/>
        <v>6</v>
      </c>
      <c r="P186" s="47">
        <v>811</v>
      </c>
      <c r="Q186" s="47">
        <v>795</v>
      </c>
      <c r="R186" s="47">
        <v>809</v>
      </c>
      <c r="S186" s="48">
        <f t="shared" ref="S186:S193" si="67">1.44*N186</f>
        <v>1440</v>
      </c>
      <c r="T186" s="43">
        <f t="shared" ref="T186:T193" si="68">(R186+Q186+P186)/3</f>
        <v>805</v>
      </c>
      <c r="U186" s="44">
        <f t="shared" si="55"/>
        <v>56</v>
      </c>
      <c r="V186" s="45">
        <v>381</v>
      </c>
      <c r="W186" s="45">
        <v>1500</v>
      </c>
      <c r="X186" s="45" t="s">
        <v>139</v>
      </c>
      <c r="Y186" s="45" t="s">
        <v>42</v>
      </c>
      <c r="Z186" s="1">
        <f t="shared" si="58"/>
        <v>-15</v>
      </c>
      <c r="AA186" s="1">
        <f t="shared" si="59"/>
        <v>-1.7320508075689531</v>
      </c>
    </row>
    <row r="187" spans="1:27" s="49" customFormat="1" ht="16.5" customHeight="1" thickBot="1" x14ac:dyDescent="0.25">
      <c r="A187" s="98">
        <v>185</v>
      </c>
      <c r="B187" s="102" t="s">
        <v>35</v>
      </c>
      <c r="C187" s="103" t="s">
        <v>36</v>
      </c>
      <c r="D187" s="103" t="s">
        <v>37</v>
      </c>
      <c r="E187" s="103" t="s">
        <v>116</v>
      </c>
      <c r="F187" s="103" t="s">
        <v>171</v>
      </c>
      <c r="G187" s="99" t="s">
        <v>171</v>
      </c>
      <c r="H187" s="115" t="s">
        <v>23</v>
      </c>
      <c r="I187" s="121" t="s">
        <v>573</v>
      </c>
      <c r="J187" s="122">
        <v>2015</v>
      </c>
      <c r="K187" s="116" t="s">
        <v>25</v>
      </c>
      <c r="L187" s="103">
        <v>3</v>
      </c>
      <c r="M187" s="103">
        <v>5</v>
      </c>
      <c r="N187" s="117">
        <v>1000</v>
      </c>
      <c r="O187" s="118">
        <f t="shared" si="52"/>
        <v>6</v>
      </c>
      <c r="P187" s="117">
        <v>780</v>
      </c>
      <c r="Q187" s="117">
        <v>792</v>
      </c>
      <c r="R187" s="117">
        <v>786</v>
      </c>
      <c r="S187" s="120">
        <f t="shared" si="67"/>
        <v>1440</v>
      </c>
      <c r="T187" s="118">
        <f t="shared" si="68"/>
        <v>786</v>
      </c>
      <c r="U187" s="100">
        <f t="shared" si="55"/>
        <v>55</v>
      </c>
      <c r="V187" s="104">
        <v>381</v>
      </c>
      <c r="W187" s="104">
        <v>1500</v>
      </c>
      <c r="X187" s="104" t="s">
        <v>139</v>
      </c>
      <c r="Y187" s="104" t="s">
        <v>42</v>
      </c>
      <c r="Z187" s="1">
        <f t="shared" si="58"/>
        <v>9</v>
      </c>
      <c r="AA187" s="1">
        <f t="shared" si="59"/>
        <v>5.196152422706632</v>
      </c>
    </row>
    <row r="188" spans="1:27" s="49" customFormat="1" ht="16.5" customHeight="1" thickBot="1" x14ac:dyDescent="0.25">
      <c r="A188" s="98">
        <v>186</v>
      </c>
      <c r="B188" s="102" t="s">
        <v>35</v>
      </c>
      <c r="C188" s="103" t="s">
        <v>36</v>
      </c>
      <c r="D188" s="103" t="s">
        <v>37</v>
      </c>
      <c r="E188" s="103" t="s">
        <v>116</v>
      </c>
      <c r="F188" s="103" t="s">
        <v>171</v>
      </c>
      <c r="G188" s="99" t="s">
        <v>173</v>
      </c>
      <c r="H188" s="115" t="s">
        <v>23</v>
      </c>
      <c r="I188" s="121" t="s">
        <v>591</v>
      </c>
      <c r="J188" s="122">
        <v>2018</v>
      </c>
      <c r="K188" s="116" t="s">
        <v>25</v>
      </c>
      <c r="L188" s="103">
        <v>3</v>
      </c>
      <c r="M188" s="103">
        <v>4</v>
      </c>
      <c r="N188" s="117">
        <v>1000</v>
      </c>
      <c r="O188" s="118">
        <f t="shared" si="52"/>
        <v>7</v>
      </c>
      <c r="P188" s="117">
        <v>666</v>
      </c>
      <c r="Q188" s="117">
        <v>661</v>
      </c>
      <c r="R188" s="117">
        <v>674</v>
      </c>
      <c r="S188" s="120">
        <f t="shared" si="67"/>
        <v>1440</v>
      </c>
      <c r="T188" s="118">
        <f t="shared" si="68"/>
        <v>667</v>
      </c>
      <c r="U188" s="100">
        <f t="shared" si="55"/>
        <v>46</v>
      </c>
      <c r="V188" s="104">
        <v>382</v>
      </c>
      <c r="W188" s="104">
        <v>1500</v>
      </c>
      <c r="X188" s="104" t="s">
        <v>139</v>
      </c>
      <c r="Y188" s="104" t="s">
        <v>42</v>
      </c>
      <c r="Z188" s="1">
        <f t="shared" si="58"/>
        <v>-9</v>
      </c>
      <c r="AA188" s="1">
        <f t="shared" si="59"/>
        <v>6.9282032302754715</v>
      </c>
    </row>
    <row r="189" spans="1:27" s="96" customFormat="1" ht="16.5" customHeight="1" thickBot="1" x14ac:dyDescent="0.25">
      <c r="A189" s="98">
        <v>187</v>
      </c>
      <c r="B189" s="102" t="s">
        <v>35</v>
      </c>
      <c r="C189" s="103" t="s">
        <v>36</v>
      </c>
      <c r="D189" s="103" t="s">
        <v>37</v>
      </c>
      <c r="E189" s="103" t="s">
        <v>116</v>
      </c>
      <c r="F189" s="103" t="s">
        <v>171</v>
      </c>
      <c r="G189" s="99" t="s">
        <v>174</v>
      </c>
      <c r="H189" s="115" t="s">
        <v>23</v>
      </c>
      <c r="I189" s="121" t="s">
        <v>573</v>
      </c>
      <c r="J189" s="122">
        <v>2017</v>
      </c>
      <c r="K189" s="116" t="s">
        <v>25</v>
      </c>
      <c r="L189" s="103">
        <v>3</v>
      </c>
      <c r="M189" s="103">
        <v>4</v>
      </c>
      <c r="N189" s="117">
        <v>1000</v>
      </c>
      <c r="O189" s="118">
        <f t="shared" si="52"/>
        <v>6.6666666666666288</v>
      </c>
      <c r="P189" s="117">
        <v>607</v>
      </c>
      <c r="Q189" s="117">
        <v>615</v>
      </c>
      <c r="R189" s="117">
        <v>603</v>
      </c>
      <c r="S189" s="120">
        <f t="shared" si="67"/>
        <v>1440</v>
      </c>
      <c r="T189" s="118">
        <f t="shared" si="68"/>
        <v>608.33333333333337</v>
      </c>
      <c r="U189" s="100">
        <f t="shared" si="55"/>
        <v>42</v>
      </c>
      <c r="V189" s="104">
        <v>380</v>
      </c>
      <c r="W189" s="104">
        <v>1500</v>
      </c>
      <c r="X189" s="104" t="s">
        <v>139</v>
      </c>
      <c r="Y189" s="104" t="s">
        <v>42</v>
      </c>
      <c r="Z189" s="1">
        <f t="shared" si="58"/>
        <v>10</v>
      </c>
      <c r="AA189" s="1">
        <f t="shared" si="59"/>
        <v>-3.4641016151377926</v>
      </c>
    </row>
    <row r="190" spans="1:27" s="96" customFormat="1" ht="16.5" customHeight="1" thickBot="1" x14ac:dyDescent="0.25">
      <c r="A190" s="98">
        <v>188</v>
      </c>
      <c r="B190" s="102" t="s">
        <v>35</v>
      </c>
      <c r="C190" s="103" t="s">
        <v>36</v>
      </c>
      <c r="D190" s="103" t="s">
        <v>37</v>
      </c>
      <c r="E190" s="103" t="s">
        <v>116</v>
      </c>
      <c r="F190" s="104" t="s">
        <v>171</v>
      </c>
      <c r="G190" s="99" t="s">
        <v>177</v>
      </c>
      <c r="H190" s="115" t="s">
        <v>23</v>
      </c>
      <c r="I190" s="121" t="s">
        <v>573</v>
      </c>
      <c r="J190" s="122">
        <v>2005</v>
      </c>
      <c r="K190" s="116" t="s">
        <v>25</v>
      </c>
      <c r="L190" s="103">
        <v>3</v>
      </c>
      <c r="M190" s="103">
        <v>3</v>
      </c>
      <c r="N190" s="117">
        <v>800</v>
      </c>
      <c r="O190" s="118">
        <f t="shared" si="52"/>
        <v>8.3333333333333712</v>
      </c>
      <c r="P190" s="117">
        <v>604</v>
      </c>
      <c r="Q190" s="117">
        <v>610</v>
      </c>
      <c r="R190" s="117">
        <v>591</v>
      </c>
      <c r="S190" s="120">
        <f t="shared" si="67"/>
        <v>1152</v>
      </c>
      <c r="T190" s="118">
        <f t="shared" si="68"/>
        <v>601.66666666666663</v>
      </c>
      <c r="U190" s="100">
        <f t="shared" si="55"/>
        <v>52</v>
      </c>
      <c r="V190" s="104">
        <v>381</v>
      </c>
      <c r="W190" s="104">
        <v>1500</v>
      </c>
      <c r="X190" s="104" t="s">
        <v>139</v>
      </c>
      <c r="Y190" s="104" t="s">
        <v>42</v>
      </c>
      <c r="Z190" s="1"/>
      <c r="AA190" s="1"/>
    </row>
    <row r="191" spans="1:27" s="49" customFormat="1" ht="16.5" customHeight="1" thickBot="1" x14ac:dyDescent="0.25">
      <c r="A191" s="98">
        <v>189</v>
      </c>
      <c r="B191" s="102" t="s">
        <v>35</v>
      </c>
      <c r="C191" s="103" t="s">
        <v>36</v>
      </c>
      <c r="D191" s="103" t="s">
        <v>37</v>
      </c>
      <c r="E191" s="103" t="s">
        <v>116</v>
      </c>
      <c r="F191" s="103" t="s">
        <v>171</v>
      </c>
      <c r="G191" s="99" t="s">
        <v>175</v>
      </c>
      <c r="H191" s="115" t="s">
        <v>23</v>
      </c>
      <c r="I191" s="121" t="s">
        <v>573</v>
      </c>
      <c r="J191" s="122">
        <v>2012</v>
      </c>
      <c r="K191" s="116" t="s">
        <v>25</v>
      </c>
      <c r="L191" s="103">
        <v>3</v>
      </c>
      <c r="M191" s="103">
        <v>5</v>
      </c>
      <c r="N191" s="117">
        <v>1000</v>
      </c>
      <c r="O191" s="118">
        <f t="shared" si="52"/>
        <v>7</v>
      </c>
      <c r="P191" s="117">
        <v>688</v>
      </c>
      <c r="Q191" s="117">
        <v>681</v>
      </c>
      <c r="R191" s="117">
        <v>695</v>
      </c>
      <c r="S191" s="120">
        <f t="shared" si="67"/>
        <v>1440</v>
      </c>
      <c r="T191" s="118">
        <f t="shared" si="68"/>
        <v>688</v>
      </c>
      <c r="U191" s="100">
        <f t="shared" si="55"/>
        <v>48</v>
      </c>
      <c r="V191" s="104">
        <v>382</v>
      </c>
      <c r="W191" s="104">
        <v>1500</v>
      </c>
      <c r="X191" s="104" t="s">
        <v>139</v>
      </c>
      <c r="Y191" s="104" t="s">
        <v>42</v>
      </c>
      <c r="Z191" s="1">
        <f t="shared" si="58"/>
        <v>-10.5</v>
      </c>
      <c r="AA191" s="1">
        <f t="shared" si="59"/>
        <v>6.0621778264910517</v>
      </c>
    </row>
    <row r="192" spans="1:27" s="49" customFormat="1" ht="16.5" customHeight="1" thickBot="1" x14ac:dyDescent="0.25">
      <c r="A192" s="98">
        <v>190</v>
      </c>
      <c r="B192" s="102" t="s">
        <v>35</v>
      </c>
      <c r="C192" s="103" t="s">
        <v>36</v>
      </c>
      <c r="D192" s="103" t="s">
        <v>37</v>
      </c>
      <c r="E192" s="103" t="s">
        <v>116</v>
      </c>
      <c r="F192" s="104" t="s">
        <v>171</v>
      </c>
      <c r="G192" s="99" t="s">
        <v>176</v>
      </c>
      <c r="H192" s="115" t="s">
        <v>23</v>
      </c>
      <c r="I192" s="121"/>
      <c r="J192" s="122"/>
      <c r="K192" s="116" t="s">
        <v>25</v>
      </c>
      <c r="L192" s="103">
        <v>3</v>
      </c>
      <c r="M192" s="103">
        <v>4</v>
      </c>
      <c r="N192" s="117">
        <v>1000</v>
      </c>
      <c r="O192" s="118">
        <f t="shared" si="52"/>
        <v>7.6666666666666288</v>
      </c>
      <c r="P192" s="117">
        <v>649</v>
      </c>
      <c r="Q192" s="117">
        <v>665</v>
      </c>
      <c r="R192" s="117">
        <v>658</v>
      </c>
      <c r="S192" s="120">
        <f t="shared" si="67"/>
        <v>1440</v>
      </c>
      <c r="T192" s="118">
        <f t="shared" si="68"/>
        <v>657.33333333333337</v>
      </c>
      <c r="U192" s="100">
        <f t="shared" si="55"/>
        <v>46</v>
      </c>
      <c r="V192" s="104">
        <v>382</v>
      </c>
      <c r="W192" s="104">
        <v>1500</v>
      </c>
      <c r="X192" s="104" t="s">
        <v>139</v>
      </c>
      <c r="Y192" s="104" t="s">
        <v>42</v>
      </c>
      <c r="Z192" s="1">
        <f t="shared" si="58"/>
        <v>11.5</v>
      </c>
      <c r="AA192" s="1">
        <f t="shared" si="59"/>
        <v>7.7942286340598912</v>
      </c>
    </row>
    <row r="193" spans="1:27" s="49" customFormat="1" ht="16.5" customHeight="1" thickBot="1" x14ac:dyDescent="0.3">
      <c r="A193" s="84">
        <v>191</v>
      </c>
      <c r="B193" s="52" t="s">
        <v>35</v>
      </c>
      <c r="C193" s="41" t="s">
        <v>36</v>
      </c>
      <c r="D193" s="41" t="s">
        <v>37</v>
      </c>
      <c r="E193" s="41" t="s">
        <v>116</v>
      </c>
      <c r="F193" s="45" t="s">
        <v>178</v>
      </c>
      <c r="G193" s="42" t="s">
        <v>179</v>
      </c>
      <c r="H193" s="46" t="s">
        <v>23</v>
      </c>
      <c r="I193" s="62" t="s">
        <v>573</v>
      </c>
      <c r="J193" s="70">
        <v>2018</v>
      </c>
      <c r="K193" s="66" t="s">
        <v>28</v>
      </c>
      <c r="L193" s="41">
        <v>3</v>
      </c>
      <c r="M193" s="41">
        <v>3</v>
      </c>
      <c r="N193" s="47">
        <v>800</v>
      </c>
      <c r="O193" s="43">
        <f t="shared" si="52"/>
        <v>6.3333333333333144</v>
      </c>
      <c r="P193" s="57">
        <v>368</v>
      </c>
      <c r="Q193" s="57">
        <v>373</v>
      </c>
      <c r="R193" s="57">
        <v>380</v>
      </c>
      <c r="S193" s="48">
        <f t="shared" si="67"/>
        <v>1152</v>
      </c>
      <c r="T193" s="43">
        <f t="shared" si="68"/>
        <v>373.66666666666669</v>
      </c>
      <c r="U193" s="44">
        <f t="shared" si="55"/>
        <v>32</v>
      </c>
      <c r="V193" s="45">
        <v>381</v>
      </c>
      <c r="W193" s="45">
        <v>1599</v>
      </c>
      <c r="X193" s="45" t="s">
        <v>41</v>
      </c>
      <c r="Y193" s="45" t="s">
        <v>42</v>
      </c>
      <c r="Z193" s="1">
        <f t="shared" si="58"/>
        <v>-1</v>
      </c>
      <c r="AA193" s="1">
        <f t="shared" si="59"/>
        <v>10.392304845413264</v>
      </c>
    </row>
    <row r="194" spans="1:27" s="49" customFormat="1" ht="16.5" customHeight="1" thickBot="1" x14ac:dyDescent="0.25">
      <c r="A194" s="98">
        <v>192</v>
      </c>
      <c r="B194" s="102" t="s">
        <v>35</v>
      </c>
      <c r="C194" s="103" t="s">
        <v>36</v>
      </c>
      <c r="D194" s="103" t="s">
        <v>37</v>
      </c>
      <c r="E194" s="103" t="s">
        <v>116</v>
      </c>
      <c r="F194" s="104" t="s">
        <v>178</v>
      </c>
      <c r="G194" s="99" t="s">
        <v>180</v>
      </c>
      <c r="H194" s="115" t="s">
        <v>23</v>
      </c>
      <c r="I194" s="107"/>
      <c r="J194" s="108"/>
      <c r="K194" s="116" t="s">
        <v>28</v>
      </c>
      <c r="L194" s="103">
        <v>3</v>
      </c>
      <c r="M194" s="103"/>
      <c r="N194" s="117">
        <v>1500</v>
      </c>
      <c r="O194" s="118"/>
      <c r="P194" s="138" t="s">
        <v>120</v>
      </c>
      <c r="Q194" s="139"/>
      <c r="R194" s="139"/>
      <c r="S194" s="139"/>
      <c r="T194" s="140"/>
      <c r="U194" s="100" t="e">
        <f t="shared" si="55"/>
        <v>#DIV/0!</v>
      </c>
      <c r="V194" s="104">
        <v>382</v>
      </c>
      <c r="W194" s="104">
        <v>1599</v>
      </c>
      <c r="X194" s="104" t="s">
        <v>41</v>
      </c>
      <c r="Y194" s="104" t="s">
        <v>42</v>
      </c>
      <c r="Z194" s="1" t="e">
        <f t="shared" si="58"/>
        <v>#VALUE!</v>
      </c>
      <c r="AA194" s="1" t="e">
        <f t="shared" si="59"/>
        <v>#VALUE!</v>
      </c>
    </row>
    <row r="195" spans="1:27" s="49" customFormat="1" ht="16.5" customHeight="1" thickBot="1" x14ac:dyDescent="0.25">
      <c r="A195" s="98">
        <v>193</v>
      </c>
      <c r="B195" s="102" t="s">
        <v>35</v>
      </c>
      <c r="C195" s="103" t="s">
        <v>36</v>
      </c>
      <c r="D195" s="103" t="s">
        <v>37</v>
      </c>
      <c r="E195" s="103" t="s">
        <v>116</v>
      </c>
      <c r="F195" s="104" t="s">
        <v>178</v>
      </c>
      <c r="G195" s="99" t="s">
        <v>181</v>
      </c>
      <c r="H195" s="115" t="s">
        <v>23</v>
      </c>
      <c r="I195" s="107"/>
      <c r="J195" s="108"/>
      <c r="K195" s="116" t="s">
        <v>28</v>
      </c>
      <c r="L195" s="103">
        <v>3</v>
      </c>
      <c r="M195" s="103"/>
      <c r="N195" s="117">
        <v>1000</v>
      </c>
      <c r="O195" s="118"/>
      <c r="P195" s="138" t="s">
        <v>120</v>
      </c>
      <c r="Q195" s="139"/>
      <c r="R195" s="139"/>
      <c r="S195" s="139"/>
      <c r="T195" s="140"/>
      <c r="U195" s="100" t="e">
        <f t="shared" si="55"/>
        <v>#DIV/0!</v>
      </c>
      <c r="V195" s="104">
        <v>383</v>
      </c>
      <c r="W195" s="104">
        <v>1599</v>
      </c>
      <c r="X195" s="104" t="s">
        <v>41</v>
      </c>
      <c r="Y195" s="104" t="s">
        <v>42</v>
      </c>
      <c r="Z195" s="1" t="e">
        <f t="shared" si="58"/>
        <v>#VALUE!</v>
      </c>
      <c r="AA195" s="1" t="e">
        <f t="shared" si="59"/>
        <v>#VALUE!</v>
      </c>
    </row>
    <row r="196" spans="1:27" s="49" customFormat="1" ht="16.5" customHeight="1" thickBot="1" x14ac:dyDescent="0.25">
      <c r="A196" s="98">
        <v>194</v>
      </c>
      <c r="B196" s="102" t="s">
        <v>35</v>
      </c>
      <c r="C196" s="103" t="s">
        <v>36</v>
      </c>
      <c r="D196" s="103" t="s">
        <v>37</v>
      </c>
      <c r="E196" s="103" t="s">
        <v>116</v>
      </c>
      <c r="F196" s="104" t="s">
        <v>183</v>
      </c>
      <c r="G196" s="99" t="s">
        <v>183</v>
      </c>
      <c r="H196" s="115" t="s">
        <v>23</v>
      </c>
      <c r="I196" s="121" t="s">
        <v>573</v>
      </c>
      <c r="J196" s="122">
        <v>2022</v>
      </c>
      <c r="K196" s="116" t="s">
        <v>25</v>
      </c>
      <c r="L196" s="103">
        <v>3</v>
      </c>
      <c r="M196" s="103">
        <v>4</v>
      </c>
      <c r="N196" s="117">
        <v>800</v>
      </c>
      <c r="O196" s="118">
        <f>MAX(P196:R196)-AVERAGE(P196:R196)</f>
        <v>7.3333333333333144</v>
      </c>
      <c r="P196" s="117">
        <v>411</v>
      </c>
      <c r="Q196" s="117">
        <v>419</v>
      </c>
      <c r="R196" s="117">
        <v>405</v>
      </c>
      <c r="S196" s="120">
        <f>1.44*N196</f>
        <v>1152</v>
      </c>
      <c r="T196" s="118">
        <f>(R196+Q196+P196)/3</f>
        <v>411.66666666666669</v>
      </c>
      <c r="U196" s="100">
        <f t="shared" si="55"/>
        <v>36</v>
      </c>
      <c r="V196" s="104">
        <v>381</v>
      </c>
      <c r="W196" s="104">
        <v>1500</v>
      </c>
      <c r="X196" s="104" t="s">
        <v>139</v>
      </c>
      <c r="Y196" s="104" t="s">
        <v>42</v>
      </c>
      <c r="Z196" s="1">
        <f t="shared" si="58"/>
        <v>11</v>
      </c>
      <c r="AA196" s="1">
        <f t="shared" ref="AA196:AA261" si="69">SQRT(3)/2*R196-SQRT(3)/2*P196</f>
        <v>-5.196152422706632</v>
      </c>
    </row>
    <row r="197" spans="1:27" s="49" customFormat="1" ht="16.5" customHeight="1" thickBot="1" x14ac:dyDescent="0.25">
      <c r="A197" s="98">
        <v>195</v>
      </c>
      <c r="B197" s="102" t="s">
        <v>35</v>
      </c>
      <c r="C197" s="103" t="s">
        <v>36</v>
      </c>
      <c r="D197" s="103" t="s">
        <v>37</v>
      </c>
      <c r="E197" s="103" t="s">
        <v>116</v>
      </c>
      <c r="F197" s="104" t="s">
        <v>183</v>
      </c>
      <c r="G197" s="99" t="s">
        <v>184</v>
      </c>
      <c r="H197" s="115" t="s">
        <v>23</v>
      </c>
      <c r="I197" s="121" t="s">
        <v>573</v>
      </c>
      <c r="J197" s="122">
        <v>2007</v>
      </c>
      <c r="K197" s="116" t="s">
        <v>25</v>
      </c>
      <c r="L197" s="103">
        <v>3</v>
      </c>
      <c r="M197" s="103">
        <v>4</v>
      </c>
      <c r="N197" s="117">
        <v>800</v>
      </c>
      <c r="O197" s="118">
        <f t="shared" ref="O197:O260" si="70">MAX(P197:R197)-AVERAGE(P197:R197)</f>
        <v>8.3333333333333144</v>
      </c>
      <c r="P197" s="117">
        <v>510</v>
      </c>
      <c r="Q197" s="117">
        <v>499</v>
      </c>
      <c r="R197" s="117">
        <v>517</v>
      </c>
      <c r="S197" s="120">
        <f t="shared" ref="S197:S217" si="71">1.44*N197</f>
        <v>1152</v>
      </c>
      <c r="T197" s="118">
        <f t="shared" ref="T197:T205" si="72">(R197+Q197+P197)/3</f>
        <v>508.66666666666669</v>
      </c>
      <c r="U197" s="100">
        <f t="shared" si="55"/>
        <v>44</v>
      </c>
      <c r="V197" s="104">
        <v>381</v>
      </c>
      <c r="W197" s="104">
        <v>1500</v>
      </c>
      <c r="X197" s="104" t="s">
        <v>139</v>
      </c>
      <c r="Y197" s="104" t="s">
        <v>42</v>
      </c>
      <c r="Z197" s="1">
        <f t="shared" si="58"/>
        <v>-14.5</v>
      </c>
      <c r="AA197" s="1">
        <f t="shared" si="69"/>
        <v>6.0621778264911086</v>
      </c>
    </row>
    <row r="198" spans="1:27" s="49" customFormat="1" ht="16.5" customHeight="1" thickBot="1" x14ac:dyDescent="0.25">
      <c r="A198" s="84">
        <v>196</v>
      </c>
      <c r="B198" s="52" t="s">
        <v>35</v>
      </c>
      <c r="C198" s="41" t="s">
        <v>36</v>
      </c>
      <c r="D198" s="41" t="s">
        <v>37</v>
      </c>
      <c r="E198" s="41" t="s">
        <v>116</v>
      </c>
      <c r="F198" s="45" t="s">
        <v>183</v>
      </c>
      <c r="G198" s="42" t="s">
        <v>185</v>
      </c>
      <c r="H198" s="46" t="s">
        <v>23</v>
      </c>
      <c r="I198" s="63" t="s">
        <v>573</v>
      </c>
      <c r="J198" s="71">
        <v>2012</v>
      </c>
      <c r="K198" s="66" t="s">
        <v>25</v>
      </c>
      <c r="L198" s="41">
        <v>3</v>
      </c>
      <c r="M198" s="41">
        <v>4</v>
      </c>
      <c r="N198" s="47">
        <v>800</v>
      </c>
      <c r="O198" s="43">
        <f t="shared" si="70"/>
        <v>6.6666666666666856</v>
      </c>
      <c r="P198" s="47">
        <v>451</v>
      </c>
      <c r="Q198" s="47">
        <v>445</v>
      </c>
      <c r="R198" s="47">
        <v>437</v>
      </c>
      <c r="S198" s="48">
        <f t="shared" si="71"/>
        <v>1152</v>
      </c>
      <c r="T198" s="43">
        <f t="shared" si="72"/>
        <v>444.33333333333331</v>
      </c>
      <c r="U198" s="44">
        <f t="shared" si="55"/>
        <v>39</v>
      </c>
      <c r="V198" s="45">
        <v>380</v>
      </c>
      <c r="W198" s="45">
        <v>1500</v>
      </c>
      <c r="X198" s="45" t="s">
        <v>139</v>
      </c>
      <c r="Y198" s="45" t="s">
        <v>42</v>
      </c>
      <c r="Z198" s="1">
        <f t="shared" si="58"/>
        <v>1</v>
      </c>
      <c r="AA198" s="1">
        <f t="shared" si="69"/>
        <v>-12.12435565298216</v>
      </c>
    </row>
    <row r="199" spans="1:27" s="49" customFormat="1" ht="16.5" customHeight="1" thickBot="1" x14ac:dyDescent="0.25">
      <c r="A199" s="98">
        <v>197</v>
      </c>
      <c r="B199" s="102" t="s">
        <v>35</v>
      </c>
      <c r="C199" s="103" t="s">
        <v>36</v>
      </c>
      <c r="D199" s="103" t="s">
        <v>37</v>
      </c>
      <c r="E199" s="103" t="s">
        <v>116</v>
      </c>
      <c r="F199" s="104" t="s">
        <v>186</v>
      </c>
      <c r="G199" s="99" t="s">
        <v>187</v>
      </c>
      <c r="H199" s="115" t="s">
        <v>23</v>
      </c>
      <c r="I199" s="121" t="s">
        <v>573</v>
      </c>
      <c r="J199" s="122">
        <v>2000</v>
      </c>
      <c r="K199" s="116" t="s">
        <v>25</v>
      </c>
      <c r="L199" s="103">
        <v>3</v>
      </c>
      <c r="M199" s="103">
        <v>3</v>
      </c>
      <c r="N199" s="117">
        <v>500</v>
      </c>
      <c r="O199" s="118">
        <f t="shared" si="70"/>
        <v>6.3333333333333428</v>
      </c>
      <c r="P199" s="117">
        <v>226</v>
      </c>
      <c r="Q199" s="117">
        <v>213</v>
      </c>
      <c r="R199" s="117">
        <v>220</v>
      </c>
      <c r="S199" s="120">
        <f t="shared" si="71"/>
        <v>720</v>
      </c>
      <c r="T199" s="118">
        <f t="shared" si="72"/>
        <v>219.66666666666666</v>
      </c>
      <c r="U199" s="100">
        <f t="shared" ref="U199:U263" si="73">ROUND(((AVERAGE(P199,R199,Q199))/(N199*1.44))*100,0)</f>
        <v>31</v>
      </c>
      <c r="V199" s="104">
        <v>380</v>
      </c>
      <c r="W199" s="104">
        <v>1700</v>
      </c>
      <c r="X199" s="104" t="s">
        <v>41</v>
      </c>
      <c r="Y199" s="104" t="s">
        <v>42</v>
      </c>
      <c r="Z199" s="1">
        <f t="shared" si="58"/>
        <v>-10</v>
      </c>
      <c r="AA199" s="1">
        <f t="shared" si="69"/>
        <v>-5.196152422706632</v>
      </c>
    </row>
    <row r="200" spans="1:27" s="49" customFormat="1" ht="16.5" customHeight="1" thickBot="1" x14ac:dyDescent="0.25">
      <c r="A200" s="98">
        <v>198</v>
      </c>
      <c r="B200" s="102" t="s">
        <v>35</v>
      </c>
      <c r="C200" s="103" t="s">
        <v>36</v>
      </c>
      <c r="D200" s="103" t="s">
        <v>37</v>
      </c>
      <c r="E200" s="103" t="s">
        <v>116</v>
      </c>
      <c r="F200" s="104" t="s">
        <v>186</v>
      </c>
      <c r="G200" s="99" t="s">
        <v>188</v>
      </c>
      <c r="H200" s="115" t="s">
        <v>23</v>
      </c>
      <c r="I200" s="128" t="s">
        <v>593</v>
      </c>
      <c r="J200" s="122">
        <v>2010</v>
      </c>
      <c r="K200" s="116" t="s">
        <v>25</v>
      </c>
      <c r="L200" s="103">
        <v>3</v>
      </c>
      <c r="M200" s="103">
        <v>3</v>
      </c>
      <c r="N200" s="117">
        <v>800</v>
      </c>
      <c r="O200" s="118">
        <f t="shared" si="70"/>
        <v>7.6666666666666856</v>
      </c>
      <c r="P200" s="117">
        <v>389</v>
      </c>
      <c r="Q200" s="117">
        <v>404</v>
      </c>
      <c r="R200" s="117">
        <v>396</v>
      </c>
      <c r="S200" s="120">
        <f t="shared" si="71"/>
        <v>1152</v>
      </c>
      <c r="T200" s="118">
        <f t="shared" si="72"/>
        <v>396.33333333333331</v>
      </c>
      <c r="U200" s="100">
        <f t="shared" si="73"/>
        <v>34</v>
      </c>
      <c r="V200" s="104">
        <v>380</v>
      </c>
      <c r="W200" s="104">
        <v>1700</v>
      </c>
      <c r="X200" s="104" t="s">
        <v>41</v>
      </c>
      <c r="Y200" s="104" t="s">
        <v>42</v>
      </c>
      <c r="Z200" s="1">
        <f t="shared" si="58"/>
        <v>11.5</v>
      </c>
      <c r="AA200" s="1">
        <f t="shared" si="69"/>
        <v>6.0621778264910517</v>
      </c>
    </row>
    <row r="201" spans="1:27" s="49" customFormat="1" ht="16.5" customHeight="1" thickBot="1" x14ac:dyDescent="0.25">
      <c r="A201" s="84">
        <v>199</v>
      </c>
      <c r="B201" s="52" t="s">
        <v>35</v>
      </c>
      <c r="C201" s="41" t="s">
        <v>36</v>
      </c>
      <c r="D201" s="41" t="s">
        <v>37</v>
      </c>
      <c r="E201" s="41" t="s">
        <v>116</v>
      </c>
      <c r="F201" s="45" t="s">
        <v>186</v>
      </c>
      <c r="G201" s="42" t="s">
        <v>190</v>
      </c>
      <c r="H201" s="46" t="s">
        <v>23</v>
      </c>
      <c r="I201" s="62"/>
      <c r="J201" s="70"/>
      <c r="K201" s="66" t="s">
        <v>28</v>
      </c>
      <c r="L201" s="41">
        <v>3</v>
      </c>
      <c r="M201" s="41"/>
      <c r="N201" s="47">
        <v>100</v>
      </c>
      <c r="O201" s="43">
        <f t="shared" si="70"/>
        <v>8</v>
      </c>
      <c r="P201" s="47">
        <v>56</v>
      </c>
      <c r="Q201" s="47">
        <v>69</v>
      </c>
      <c r="R201" s="47">
        <v>58</v>
      </c>
      <c r="S201" s="48">
        <f t="shared" si="71"/>
        <v>144</v>
      </c>
      <c r="T201" s="43">
        <f t="shared" si="72"/>
        <v>61</v>
      </c>
      <c r="U201" s="44">
        <f t="shared" si="73"/>
        <v>42</v>
      </c>
      <c r="V201" s="45">
        <v>380</v>
      </c>
      <c r="W201" s="45">
        <v>1700</v>
      </c>
      <c r="X201" s="45" t="s">
        <v>41</v>
      </c>
      <c r="Y201" s="45" t="s">
        <v>42</v>
      </c>
      <c r="Z201" s="1"/>
      <c r="AA201" s="1"/>
    </row>
    <row r="202" spans="1:27" s="49" customFormat="1" ht="16.5" customHeight="1" thickBot="1" x14ac:dyDescent="0.25">
      <c r="A202" s="98">
        <v>200</v>
      </c>
      <c r="B202" s="102" t="s">
        <v>35</v>
      </c>
      <c r="C202" s="103" t="s">
        <v>36</v>
      </c>
      <c r="D202" s="103" t="s">
        <v>37</v>
      </c>
      <c r="E202" s="103" t="s">
        <v>116</v>
      </c>
      <c r="F202" s="104" t="s">
        <v>186</v>
      </c>
      <c r="G202" s="99" t="s">
        <v>581</v>
      </c>
      <c r="H202" s="115" t="s">
        <v>23</v>
      </c>
      <c r="I202" s="121"/>
      <c r="J202" s="122"/>
      <c r="K202" s="116" t="s">
        <v>25</v>
      </c>
      <c r="L202" s="103">
        <v>3</v>
      </c>
      <c r="M202" s="103">
        <v>4</v>
      </c>
      <c r="N202" s="117">
        <v>1000</v>
      </c>
      <c r="O202" s="118">
        <f t="shared" si="70"/>
        <v>6.6666666666666288</v>
      </c>
      <c r="P202" s="117">
        <v>625</v>
      </c>
      <c r="Q202" s="117">
        <v>634</v>
      </c>
      <c r="R202" s="117">
        <v>623</v>
      </c>
      <c r="S202" s="120">
        <f t="shared" si="71"/>
        <v>1440</v>
      </c>
      <c r="T202" s="118">
        <f t="shared" si="72"/>
        <v>627.33333333333337</v>
      </c>
      <c r="U202" s="100">
        <f t="shared" si="73"/>
        <v>44</v>
      </c>
      <c r="V202" s="104">
        <v>382</v>
      </c>
      <c r="W202" s="104">
        <v>1700</v>
      </c>
      <c r="X202" s="104" t="s">
        <v>41</v>
      </c>
      <c r="Y202" s="104" t="s">
        <v>42</v>
      </c>
      <c r="Z202" s="1">
        <f t="shared" si="58"/>
        <v>10</v>
      </c>
      <c r="AA202" s="1">
        <f t="shared" si="69"/>
        <v>-1.7320508075689531</v>
      </c>
    </row>
    <row r="203" spans="1:27" s="49" customFormat="1" ht="16.5" customHeight="1" thickBot="1" x14ac:dyDescent="0.25">
      <c r="A203" s="98">
        <v>201</v>
      </c>
      <c r="B203" s="102" t="s">
        <v>35</v>
      </c>
      <c r="C203" s="103" t="s">
        <v>36</v>
      </c>
      <c r="D203" s="103" t="s">
        <v>37</v>
      </c>
      <c r="E203" s="103" t="s">
        <v>116</v>
      </c>
      <c r="F203" s="104" t="s">
        <v>186</v>
      </c>
      <c r="G203" s="99" t="s">
        <v>585</v>
      </c>
      <c r="H203" s="115" t="s">
        <v>23</v>
      </c>
      <c r="I203" s="121"/>
      <c r="J203" s="122"/>
      <c r="K203" s="116" t="s">
        <v>25</v>
      </c>
      <c r="L203" s="103">
        <v>3</v>
      </c>
      <c r="M203" s="103">
        <v>4</v>
      </c>
      <c r="N203" s="117">
        <v>800</v>
      </c>
      <c r="O203" s="118">
        <f t="shared" si="70"/>
        <v>6.3333333333333144</v>
      </c>
      <c r="P203" s="117">
        <v>473</v>
      </c>
      <c r="Q203" s="117">
        <v>468</v>
      </c>
      <c r="R203" s="117">
        <v>480</v>
      </c>
      <c r="S203" s="120">
        <f t="shared" si="71"/>
        <v>1152</v>
      </c>
      <c r="T203" s="118">
        <f t="shared" si="72"/>
        <v>473.66666666666669</v>
      </c>
      <c r="U203" s="100">
        <f t="shared" si="73"/>
        <v>41</v>
      </c>
      <c r="V203" s="104">
        <v>381</v>
      </c>
      <c r="W203" s="104">
        <v>1700</v>
      </c>
      <c r="X203" s="104" t="s">
        <v>41</v>
      </c>
      <c r="Y203" s="104" t="s">
        <v>42</v>
      </c>
      <c r="Z203" s="1">
        <f t="shared" si="58"/>
        <v>-8.5</v>
      </c>
      <c r="AA203" s="1">
        <f t="shared" si="69"/>
        <v>6.0621778264910517</v>
      </c>
    </row>
    <row r="204" spans="1:27" s="49" customFormat="1" ht="16.5" customHeight="1" thickBot="1" x14ac:dyDescent="0.25">
      <c r="A204" s="98">
        <v>202</v>
      </c>
      <c r="B204" s="102" t="s">
        <v>35</v>
      </c>
      <c r="C204" s="103" t="s">
        <v>36</v>
      </c>
      <c r="D204" s="103" t="s">
        <v>37</v>
      </c>
      <c r="E204" s="103" t="s">
        <v>116</v>
      </c>
      <c r="F204" s="104" t="s">
        <v>186</v>
      </c>
      <c r="G204" s="99" t="s">
        <v>189</v>
      </c>
      <c r="H204" s="115" t="s">
        <v>23</v>
      </c>
      <c r="I204" s="121" t="s">
        <v>591</v>
      </c>
      <c r="J204" s="122">
        <v>2018</v>
      </c>
      <c r="K204" s="116" t="s">
        <v>25</v>
      </c>
      <c r="L204" s="103">
        <v>3</v>
      </c>
      <c r="M204" s="103">
        <v>4</v>
      </c>
      <c r="N204" s="117">
        <v>1000</v>
      </c>
      <c r="O204" s="118">
        <f t="shared" si="70"/>
        <v>7.3333333333333712</v>
      </c>
      <c r="P204" s="117">
        <v>530</v>
      </c>
      <c r="Q204" s="117">
        <v>544</v>
      </c>
      <c r="R204" s="117">
        <v>536</v>
      </c>
      <c r="S204" s="120">
        <f t="shared" si="71"/>
        <v>1440</v>
      </c>
      <c r="T204" s="118">
        <f t="shared" si="72"/>
        <v>536.66666666666663</v>
      </c>
      <c r="U204" s="100">
        <f t="shared" si="73"/>
        <v>37</v>
      </c>
      <c r="V204" s="104">
        <v>381</v>
      </c>
      <c r="W204" s="104">
        <v>1700</v>
      </c>
      <c r="X204" s="104" t="s">
        <v>41</v>
      </c>
      <c r="Y204" s="104" t="s">
        <v>42</v>
      </c>
      <c r="Z204" s="1">
        <f t="shared" si="58"/>
        <v>11</v>
      </c>
      <c r="AA204" s="1">
        <f t="shared" si="69"/>
        <v>5.196152422706632</v>
      </c>
    </row>
    <row r="205" spans="1:27" s="49" customFormat="1" ht="16.5" customHeight="1" thickBot="1" x14ac:dyDescent="0.25">
      <c r="A205" s="84">
        <v>203</v>
      </c>
      <c r="B205" s="52" t="s">
        <v>35</v>
      </c>
      <c r="C205" s="41" t="s">
        <v>36</v>
      </c>
      <c r="D205" s="41" t="s">
        <v>37</v>
      </c>
      <c r="E205" s="41" t="s">
        <v>116</v>
      </c>
      <c r="F205" s="45" t="s">
        <v>186</v>
      </c>
      <c r="G205" s="42" t="s">
        <v>452</v>
      </c>
      <c r="H205" s="46" t="s">
        <v>26</v>
      </c>
      <c r="I205" s="63"/>
      <c r="J205" s="71"/>
      <c r="K205" s="66" t="s">
        <v>25</v>
      </c>
      <c r="L205" s="41">
        <v>3</v>
      </c>
      <c r="M205" s="41"/>
      <c r="N205" s="47">
        <v>300</v>
      </c>
      <c r="O205" s="43">
        <f t="shared" si="70"/>
        <v>2.6666666666666572</v>
      </c>
      <c r="P205" s="47">
        <v>190</v>
      </c>
      <c r="Q205" s="47">
        <v>186</v>
      </c>
      <c r="R205" s="47">
        <v>192</v>
      </c>
      <c r="S205" s="48">
        <f t="shared" si="71"/>
        <v>432</v>
      </c>
      <c r="T205" s="43">
        <f t="shared" si="72"/>
        <v>189.33333333333334</v>
      </c>
      <c r="U205" s="44">
        <f t="shared" si="73"/>
        <v>44</v>
      </c>
      <c r="V205" s="45">
        <v>381</v>
      </c>
      <c r="W205" s="45">
        <v>1700</v>
      </c>
      <c r="X205" s="45" t="s">
        <v>41</v>
      </c>
      <c r="Y205" s="45" t="s">
        <v>42</v>
      </c>
      <c r="Z205" s="1">
        <f t="shared" ref="Z205:Z267" si="74">Q205-0.5*R205-0.5*P205</f>
        <v>-5</v>
      </c>
      <c r="AA205" s="1">
        <f t="shared" si="69"/>
        <v>1.7320508075688963</v>
      </c>
    </row>
    <row r="206" spans="1:27" s="49" customFormat="1" ht="16.5" customHeight="1" thickBot="1" x14ac:dyDescent="0.25">
      <c r="A206" s="98">
        <v>204</v>
      </c>
      <c r="B206" s="102" t="s">
        <v>35</v>
      </c>
      <c r="C206" s="103" t="s">
        <v>36</v>
      </c>
      <c r="D206" s="103" t="s">
        <v>37</v>
      </c>
      <c r="E206" s="103" t="s">
        <v>116</v>
      </c>
      <c r="F206" s="104" t="s">
        <v>186</v>
      </c>
      <c r="G206" s="99" t="s">
        <v>95</v>
      </c>
      <c r="H206" s="115" t="s">
        <v>23</v>
      </c>
      <c r="I206" s="121"/>
      <c r="J206" s="122"/>
      <c r="K206" s="116" t="s">
        <v>25</v>
      </c>
      <c r="L206" s="103">
        <v>3</v>
      </c>
      <c r="M206" s="103">
        <v>4</v>
      </c>
      <c r="N206" s="117">
        <v>500</v>
      </c>
      <c r="O206" s="118">
        <f t="shared" si="70"/>
        <v>6</v>
      </c>
      <c r="P206" s="117">
        <v>520</v>
      </c>
      <c r="Q206" s="117">
        <v>526</v>
      </c>
      <c r="R206" s="117">
        <v>532</v>
      </c>
      <c r="S206" s="120">
        <f t="shared" si="71"/>
        <v>720</v>
      </c>
      <c r="T206" s="118">
        <f>(R206+Q206+P206)/3</f>
        <v>526</v>
      </c>
      <c r="U206" s="100">
        <f t="shared" si="73"/>
        <v>73</v>
      </c>
      <c r="V206" s="104">
        <v>381</v>
      </c>
      <c r="W206" s="104">
        <v>1700</v>
      </c>
      <c r="X206" s="104" t="s">
        <v>41</v>
      </c>
      <c r="Y206" s="104" t="s">
        <v>42</v>
      </c>
      <c r="Z206" s="1"/>
      <c r="AA206" s="1"/>
    </row>
    <row r="207" spans="1:27" s="49" customFormat="1" ht="16.5" customHeight="1" thickBot="1" x14ac:dyDescent="0.25">
      <c r="A207" s="84">
        <v>205</v>
      </c>
      <c r="B207" s="52" t="s">
        <v>35</v>
      </c>
      <c r="C207" s="41" t="s">
        <v>36</v>
      </c>
      <c r="D207" s="41" t="s">
        <v>37</v>
      </c>
      <c r="E207" s="41" t="s">
        <v>116</v>
      </c>
      <c r="F207" s="45" t="s">
        <v>191</v>
      </c>
      <c r="G207" s="42" t="s">
        <v>453</v>
      </c>
      <c r="H207" s="46" t="s">
        <v>26</v>
      </c>
      <c r="I207" s="62"/>
      <c r="J207" s="70"/>
      <c r="K207" s="66" t="s">
        <v>28</v>
      </c>
      <c r="L207" s="41">
        <v>3</v>
      </c>
      <c r="M207" s="41"/>
      <c r="N207" s="47">
        <v>500</v>
      </c>
      <c r="O207" s="43">
        <f t="shared" si="70"/>
        <v>4.3333333333333144</v>
      </c>
      <c r="P207" s="47">
        <v>301</v>
      </c>
      <c r="Q207" s="47">
        <v>306</v>
      </c>
      <c r="R207" s="47">
        <v>310</v>
      </c>
      <c r="S207" s="48">
        <f t="shared" si="71"/>
        <v>720</v>
      </c>
      <c r="T207" s="43">
        <f t="shared" ref="T207:T208" si="75">(R207+Q207+P207)/3</f>
        <v>305.66666666666669</v>
      </c>
      <c r="U207" s="44">
        <f t="shared" si="73"/>
        <v>42</v>
      </c>
      <c r="V207" s="45">
        <v>382</v>
      </c>
      <c r="W207" s="45">
        <v>1700</v>
      </c>
      <c r="X207" s="45" t="s">
        <v>41</v>
      </c>
      <c r="Y207" s="45" t="s">
        <v>42</v>
      </c>
      <c r="Z207" s="1">
        <f t="shared" si="74"/>
        <v>0.5</v>
      </c>
      <c r="AA207" s="1">
        <f t="shared" si="69"/>
        <v>7.794228634059948</v>
      </c>
    </row>
    <row r="208" spans="1:27" s="49" customFormat="1" ht="16.5" customHeight="1" thickBot="1" x14ac:dyDescent="0.25">
      <c r="A208" s="84">
        <v>206</v>
      </c>
      <c r="B208" s="52" t="s">
        <v>35</v>
      </c>
      <c r="C208" s="41" t="s">
        <v>36</v>
      </c>
      <c r="D208" s="41" t="s">
        <v>37</v>
      </c>
      <c r="E208" s="41" t="s">
        <v>116</v>
      </c>
      <c r="F208" s="45" t="s">
        <v>191</v>
      </c>
      <c r="G208" s="42" t="s">
        <v>454</v>
      </c>
      <c r="H208" s="46" t="s">
        <v>26</v>
      </c>
      <c r="I208" s="62"/>
      <c r="J208" s="70"/>
      <c r="K208" s="66" t="s">
        <v>28</v>
      </c>
      <c r="L208" s="41">
        <v>3</v>
      </c>
      <c r="M208" s="41"/>
      <c r="N208" s="47">
        <v>300</v>
      </c>
      <c r="O208" s="43">
        <f t="shared" si="70"/>
        <v>8.6666666666666572</v>
      </c>
      <c r="P208" s="47">
        <v>197</v>
      </c>
      <c r="Q208" s="47">
        <v>187</v>
      </c>
      <c r="R208" s="47">
        <v>205</v>
      </c>
      <c r="S208" s="48">
        <f t="shared" si="71"/>
        <v>432</v>
      </c>
      <c r="T208" s="43">
        <f t="shared" si="75"/>
        <v>196.33333333333334</v>
      </c>
      <c r="U208" s="44">
        <f t="shared" si="73"/>
        <v>45</v>
      </c>
      <c r="V208" s="45">
        <v>381</v>
      </c>
      <c r="W208" s="45">
        <v>1700</v>
      </c>
      <c r="X208" s="45" t="s">
        <v>41</v>
      </c>
      <c r="Y208" s="45" t="s">
        <v>42</v>
      </c>
      <c r="Z208" s="1">
        <f t="shared" si="74"/>
        <v>-14</v>
      </c>
      <c r="AA208" s="1">
        <f t="shared" si="69"/>
        <v>6.9282032302754999</v>
      </c>
    </row>
    <row r="209" spans="1:27" s="49" customFormat="1" ht="16.5" customHeight="1" thickBot="1" x14ac:dyDescent="0.25">
      <c r="A209" s="84">
        <v>207</v>
      </c>
      <c r="B209" s="52" t="s">
        <v>35</v>
      </c>
      <c r="C209" s="41" t="s">
        <v>36</v>
      </c>
      <c r="D209" s="41" t="s">
        <v>37</v>
      </c>
      <c r="E209" s="41" t="s">
        <v>116</v>
      </c>
      <c r="F209" s="45" t="s">
        <v>191</v>
      </c>
      <c r="G209" s="42" t="s">
        <v>192</v>
      </c>
      <c r="H209" s="46" t="s">
        <v>23</v>
      </c>
      <c r="I209" s="63" t="s">
        <v>573</v>
      </c>
      <c r="J209" s="71">
        <v>1985</v>
      </c>
      <c r="K209" s="66" t="s">
        <v>25</v>
      </c>
      <c r="L209" s="41">
        <v>3</v>
      </c>
      <c r="M209" s="41">
        <v>4</v>
      </c>
      <c r="N209" s="47">
        <v>500</v>
      </c>
      <c r="O209" s="43">
        <f t="shared" si="70"/>
        <v>7</v>
      </c>
      <c r="P209" s="47">
        <v>256</v>
      </c>
      <c r="Q209" s="47">
        <v>241</v>
      </c>
      <c r="R209" s="47">
        <v>250</v>
      </c>
      <c r="S209" s="48">
        <f t="shared" si="71"/>
        <v>720</v>
      </c>
      <c r="T209" s="43">
        <f t="shared" ref="T209:T217" si="76">(R209+Q209+P209)/3</f>
        <v>249</v>
      </c>
      <c r="U209" s="44">
        <f t="shared" si="73"/>
        <v>35</v>
      </c>
      <c r="V209" s="45">
        <v>380</v>
      </c>
      <c r="W209" s="45">
        <v>1700</v>
      </c>
      <c r="X209" s="45" t="s">
        <v>41</v>
      </c>
      <c r="Y209" s="45" t="s">
        <v>42</v>
      </c>
      <c r="Z209" s="1">
        <f t="shared" si="74"/>
        <v>-12</v>
      </c>
      <c r="AA209" s="1">
        <f t="shared" si="69"/>
        <v>-5.196152422706632</v>
      </c>
    </row>
    <row r="210" spans="1:27" s="49" customFormat="1" ht="16.5" customHeight="1" thickBot="1" x14ac:dyDescent="0.25">
      <c r="A210" s="98">
        <v>208</v>
      </c>
      <c r="B210" s="102" t="s">
        <v>35</v>
      </c>
      <c r="C210" s="103" t="s">
        <v>36</v>
      </c>
      <c r="D210" s="103" t="s">
        <v>37</v>
      </c>
      <c r="E210" s="103" t="s">
        <v>116</v>
      </c>
      <c r="F210" s="104" t="s">
        <v>191</v>
      </c>
      <c r="G210" s="99" t="s">
        <v>193</v>
      </c>
      <c r="H210" s="115" t="s">
        <v>23</v>
      </c>
      <c r="I210" s="121" t="s">
        <v>573</v>
      </c>
      <c r="J210" s="122">
        <v>1988</v>
      </c>
      <c r="K210" s="116" t="s">
        <v>25</v>
      </c>
      <c r="L210" s="103">
        <v>3</v>
      </c>
      <c r="M210" s="103">
        <v>4</v>
      </c>
      <c r="N210" s="117">
        <v>500</v>
      </c>
      <c r="O210" s="118">
        <f t="shared" si="70"/>
        <v>24.666666666666629</v>
      </c>
      <c r="P210" s="117">
        <v>665</v>
      </c>
      <c r="Q210" s="117">
        <v>633</v>
      </c>
      <c r="R210" s="117">
        <v>623</v>
      </c>
      <c r="S210" s="120">
        <f t="shared" si="71"/>
        <v>720</v>
      </c>
      <c r="T210" s="118">
        <f t="shared" si="76"/>
        <v>640.33333333333337</v>
      </c>
      <c r="U210" s="100">
        <f t="shared" si="73"/>
        <v>89</v>
      </c>
      <c r="V210" s="104">
        <v>382</v>
      </c>
      <c r="W210" s="104">
        <v>1700</v>
      </c>
      <c r="X210" s="104" t="s">
        <v>41</v>
      </c>
      <c r="Y210" s="104" t="s">
        <v>42</v>
      </c>
      <c r="Z210" s="1">
        <f t="shared" si="74"/>
        <v>-11</v>
      </c>
      <c r="AA210" s="1">
        <f t="shared" si="69"/>
        <v>-36.373066958946424</v>
      </c>
    </row>
    <row r="211" spans="1:27" s="49" customFormat="1" ht="16.5" customHeight="1" thickBot="1" x14ac:dyDescent="0.25">
      <c r="A211" s="84">
        <v>209</v>
      </c>
      <c r="B211" s="52" t="s">
        <v>35</v>
      </c>
      <c r="C211" s="41" t="s">
        <v>36</v>
      </c>
      <c r="D211" s="41" t="s">
        <v>37</v>
      </c>
      <c r="E211" s="41" t="s">
        <v>116</v>
      </c>
      <c r="F211" s="45" t="s">
        <v>191</v>
      </c>
      <c r="G211" s="42" t="s">
        <v>194</v>
      </c>
      <c r="H211" s="46" t="s">
        <v>23</v>
      </c>
      <c r="I211" s="71" t="s">
        <v>595</v>
      </c>
      <c r="J211" s="71">
        <v>1985</v>
      </c>
      <c r="K211" s="66" t="s">
        <v>25</v>
      </c>
      <c r="L211" s="41">
        <v>3</v>
      </c>
      <c r="M211" s="41">
        <v>4</v>
      </c>
      <c r="N211" s="47">
        <v>500</v>
      </c>
      <c r="O211" s="43">
        <f t="shared" si="70"/>
        <v>7</v>
      </c>
      <c r="P211" s="47">
        <v>303</v>
      </c>
      <c r="Q211" s="47">
        <v>298</v>
      </c>
      <c r="R211" s="47">
        <v>311</v>
      </c>
      <c r="S211" s="48">
        <f t="shared" si="71"/>
        <v>720</v>
      </c>
      <c r="T211" s="43">
        <f t="shared" si="76"/>
        <v>304</v>
      </c>
      <c r="U211" s="44">
        <f t="shared" si="73"/>
        <v>42</v>
      </c>
      <c r="V211" s="45">
        <v>380</v>
      </c>
      <c r="W211" s="45">
        <v>1700</v>
      </c>
      <c r="X211" s="45" t="s">
        <v>41</v>
      </c>
      <c r="Y211" s="45" t="s">
        <v>42</v>
      </c>
      <c r="Z211" s="1">
        <f t="shared" si="74"/>
        <v>-9</v>
      </c>
      <c r="AA211" s="1">
        <f t="shared" si="69"/>
        <v>6.9282032302754715</v>
      </c>
    </row>
    <row r="212" spans="1:27" s="49" customFormat="1" ht="16.5" customHeight="1" thickBot="1" x14ac:dyDescent="0.25">
      <c r="A212" s="98">
        <v>210</v>
      </c>
      <c r="B212" s="102" t="s">
        <v>35</v>
      </c>
      <c r="C212" s="103" t="s">
        <v>36</v>
      </c>
      <c r="D212" s="103" t="s">
        <v>37</v>
      </c>
      <c r="E212" s="103" t="s">
        <v>116</v>
      </c>
      <c r="F212" s="104" t="s">
        <v>191</v>
      </c>
      <c r="G212" s="99" t="s">
        <v>196</v>
      </c>
      <c r="H212" s="115" t="s">
        <v>23</v>
      </c>
      <c r="I212" s="131" t="s">
        <v>596</v>
      </c>
      <c r="J212" s="122">
        <v>2009</v>
      </c>
      <c r="K212" s="116" t="s">
        <v>25</v>
      </c>
      <c r="L212" s="103">
        <v>3</v>
      </c>
      <c r="M212" s="103"/>
      <c r="N212" s="117">
        <v>300</v>
      </c>
      <c r="O212" s="118">
        <f t="shared" si="70"/>
        <v>6.3333333333333428</v>
      </c>
      <c r="P212" s="117">
        <v>210</v>
      </c>
      <c r="Q212" s="117">
        <v>208</v>
      </c>
      <c r="R212" s="117">
        <v>193</v>
      </c>
      <c r="S212" s="120">
        <f t="shared" si="71"/>
        <v>432</v>
      </c>
      <c r="T212" s="118">
        <f t="shared" si="76"/>
        <v>203.66666666666666</v>
      </c>
      <c r="U212" s="100">
        <f t="shared" si="73"/>
        <v>47</v>
      </c>
      <c r="V212" s="104">
        <v>381</v>
      </c>
      <c r="W212" s="104">
        <v>1700</v>
      </c>
      <c r="X212" s="104" t="s">
        <v>41</v>
      </c>
      <c r="Y212" s="104" t="s">
        <v>42</v>
      </c>
      <c r="Z212" s="1"/>
      <c r="AA212" s="1"/>
    </row>
    <row r="213" spans="1:27" s="49" customFormat="1" ht="16.5" customHeight="1" thickBot="1" x14ac:dyDescent="0.25">
      <c r="A213" s="98">
        <v>211</v>
      </c>
      <c r="B213" s="102" t="s">
        <v>35</v>
      </c>
      <c r="C213" s="103" t="s">
        <v>36</v>
      </c>
      <c r="D213" s="103" t="s">
        <v>37</v>
      </c>
      <c r="E213" s="103" t="s">
        <v>116</v>
      </c>
      <c r="F213" s="104" t="s">
        <v>191</v>
      </c>
      <c r="G213" s="99" t="s">
        <v>195</v>
      </c>
      <c r="H213" s="115" t="s">
        <v>23</v>
      </c>
      <c r="I213" s="121" t="s">
        <v>573</v>
      </c>
      <c r="J213" s="122">
        <v>2020</v>
      </c>
      <c r="K213" s="116" t="s">
        <v>25</v>
      </c>
      <c r="L213" s="103">
        <v>3</v>
      </c>
      <c r="M213" s="103">
        <v>4</v>
      </c>
      <c r="N213" s="117">
        <v>1000</v>
      </c>
      <c r="O213" s="118">
        <f t="shared" si="70"/>
        <v>7.6666666666666288</v>
      </c>
      <c r="P213" s="117">
        <v>710</v>
      </c>
      <c r="Q213" s="117">
        <v>723</v>
      </c>
      <c r="R213" s="117">
        <v>713</v>
      </c>
      <c r="S213" s="120">
        <f t="shared" si="71"/>
        <v>1440</v>
      </c>
      <c r="T213" s="118">
        <f t="shared" si="76"/>
        <v>715.33333333333337</v>
      </c>
      <c r="U213" s="100">
        <f t="shared" si="73"/>
        <v>50</v>
      </c>
      <c r="V213" s="104">
        <v>381</v>
      </c>
      <c r="W213" s="104">
        <v>1700</v>
      </c>
      <c r="X213" s="104" t="s">
        <v>41</v>
      </c>
      <c r="Y213" s="104" t="s">
        <v>42</v>
      </c>
      <c r="Z213" s="1">
        <f t="shared" si="74"/>
        <v>11.5</v>
      </c>
      <c r="AA213" s="1">
        <f t="shared" si="69"/>
        <v>2.5980762113532592</v>
      </c>
    </row>
    <row r="214" spans="1:27" s="49" customFormat="1" ht="16.5" customHeight="1" thickBot="1" x14ac:dyDescent="0.25">
      <c r="A214" s="84">
        <v>212</v>
      </c>
      <c r="B214" s="52" t="s">
        <v>35</v>
      </c>
      <c r="C214" s="41" t="s">
        <v>36</v>
      </c>
      <c r="D214" s="41" t="s">
        <v>37</v>
      </c>
      <c r="E214" s="41" t="s">
        <v>116</v>
      </c>
      <c r="F214" s="45" t="s">
        <v>103</v>
      </c>
      <c r="G214" s="42" t="s">
        <v>197</v>
      </c>
      <c r="H214" s="46" t="s">
        <v>23</v>
      </c>
      <c r="I214" s="62"/>
      <c r="J214" s="70"/>
      <c r="K214" s="66" t="s">
        <v>28</v>
      </c>
      <c r="L214" s="41">
        <v>3</v>
      </c>
      <c r="M214" s="41">
        <v>1</v>
      </c>
      <c r="N214" s="47">
        <v>300</v>
      </c>
      <c r="O214" s="43">
        <f t="shared" si="70"/>
        <v>5.3333333333333428</v>
      </c>
      <c r="P214" s="47">
        <v>133</v>
      </c>
      <c r="Q214" s="47">
        <v>146</v>
      </c>
      <c r="R214" s="47">
        <v>143</v>
      </c>
      <c r="S214" s="48">
        <f t="shared" si="71"/>
        <v>432</v>
      </c>
      <c r="T214" s="43">
        <f t="shared" si="76"/>
        <v>140.66666666666666</v>
      </c>
      <c r="U214" s="44">
        <f t="shared" si="73"/>
        <v>33</v>
      </c>
      <c r="V214" s="45">
        <v>382</v>
      </c>
      <c r="W214" s="45">
        <v>1700</v>
      </c>
      <c r="X214" s="45" t="s">
        <v>41</v>
      </c>
      <c r="Y214" s="45" t="s">
        <v>42</v>
      </c>
      <c r="Z214" s="1"/>
      <c r="AA214" s="1"/>
    </row>
    <row r="215" spans="1:27" s="49" customFormat="1" ht="16.5" customHeight="1" thickBot="1" x14ac:dyDescent="0.25">
      <c r="A215" s="84">
        <v>213</v>
      </c>
      <c r="B215" s="52" t="s">
        <v>35</v>
      </c>
      <c r="C215" s="41" t="s">
        <v>36</v>
      </c>
      <c r="D215" s="41" t="s">
        <v>37</v>
      </c>
      <c r="E215" s="41" t="s">
        <v>116</v>
      </c>
      <c r="F215" s="45" t="s">
        <v>103</v>
      </c>
      <c r="G215" s="42" t="s">
        <v>455</v>
      </c>
      <c r="H215" s="46" t="s">
        <v>26</v>
      </c>
      <c r="I215" s="62"/>
      <c r="J215" s="70"/>
      <c r="K215" s="66" t="s">
        <v>28</v>
      </c>
      <c r="L215" s="41">
        <v>3</v>
      </c>
      <c r="M215" s="41"/>
      <c r="N215" s="47">
        <v>300</v>
      </c>
      <c r="O215" s="43">
        <f t="shared" si="70"/>
        <v>7.6666666666666572</v>
      </c>
      <c r="P215" s="47">
        <v>179</v>
      </c>
      <c r="Q215" s="47">
        <v>182</v>
      </c>
      <c r="R215" s="47">
        <v>192</v>
      </c>
      <c r="S215" s="48">
        <f t="shared" si="71"/>
        <v>432</v>
      </c>
      <c r="T215" s="43">
        <f t="shared" si="76"/>
        <v>184.33333333333334</v>
      </c>
      <c r="U215" s="44">
        <f t="shared" si="73"/>
        <v>43</v>
      </c>
      <c r="V215" s="45">
        <v>382</v>
      </c>
      <c r="W215" s="45">
        <v>1700</v>
      </c>
      <c r="X215" s="45" t="s">
        <v>41</v>
      </c>
      <c r="Y215" s="45" t="s">
        <v>42</v>
      </c>
      <c r="Z215" s="1"/>
      <c r="AA215" s="1"/>
    </row>
    <row r="216" spans="1:27" s="49" customFormat="1" ht="16.5" customHeight="1" thickBot="1" x14ac:dyDescent="0.25">
      <c r="A216" s="84">
        <v>214</v>
      </c>
      <c r="B216" s="52" t="s">
        <v>35</v>
      </c>
      <c r="C216" s="41" t="s">
        <v>36</v>
      </c>
      <c r="D216" s="41" t="s">
        <v>37</v>
      </c>
      <c r="E216" s="41" t="s">
        <v>116</v>
      </c>
      <c r="F216" s="45" t="s">
        <v>103</v>
      </c>
      <c r="G216" s="42" t="s">
        <v>456</v>
      </c>
      <c r="H216" s="46" t="s">
        <v>26</v>
      </c>
      <c r="I216" s="62"/>
      <c r="J216" s="70"/>
      <c r="K216" s="66" t="s">
        <v>28</v>
      </c>
      <c r="L216" s="41">
        <v>3</v>
      </c>
      <c r="M216" s="41"/>
      <c r="N216" s="47">
        <v>1000</v>
      </c>
      <c r="O216" s="43">
        <f t="shared" si="70"/>
        <v>10.333333333333371</v>
      </c>
      <c r="P216" s="47">
        <v>628</v>
      </c>
      <c r="Q216" s="47">
        <v>615</v>
      </c>
      <c r="R216" s="47">
        <v>637</v>
      </c>
      <c r="S216" s="48">
        <f t="shared" si="71"/>
        <v>1440</v>
      </c>
      <c r="T216" s="43">
        <f t="shared" si="76"/>
        <v>626.66666666666663</v>
      </c>
      <c r="U216" s="44">
        <f t="shared" si="73"/>
        <v>44</v>
      </c>
      <c r="V216" s="45">
        <v>382</v>
      </c>
      <c r="W216" s="45">
        <v>1700</v>
      </c>
      <c r="X216" s="45" t="s">
        <v>41</v>
      </c>
      <c r="Y216" s="45" t="s">
        <v>42</v>
      </c>
      <c r="Z216" s="1"/>
      <c r="AA216" s="1"/>
    </row>
    <row r="217" spans="1:27" s="49" customFormat="1" ht="16.5" customHeight="1" thickBot="1" x14ac:dyDescent="0.25">
      <c r="A217" s="84">
        <v>215</v>
      </c>
      <c r="B217" s="52" t="s">
        <v>35</v>
      </c>
      <c r="C217" s="41" t="s">
        <v>36</v>
      </c>
      <c r="D217" s="41" t="s">
        <v>37</v>
      </c>
      <c r="E217" s="41" t="s">
        <v>116</v>
      </c>
      <c r="F217" s="45" t="s">
        <v>103</v>
      </c>
      <c r="G217" s="42" t="s">
        <v>457</v>
      </c>
      <c r="H217" s="46" t="s">
        <v>26</v>
      </c>
      <c r="I217" s="62"/>
      <c r="J217" s="70"/>
      <c r="K217" s="66" t="s">
        <v>28</v>
      </c>
      <c r="L217" s="41">
        <v>3</v>
      </c>
      <c r="M217" s="41"/>
      <c r="N217" s="47">
        <v>300</v>
      </c>
      <c r="O217" s="43">
        <f t="shared" si="70"/>
        <v>5.6666666666666572</v>
      </c>
      <c r="P217" s="47">
        <v>196</v>
      </c>
      <c r="Q217" s="47">
        <v>190</v>
      </c>
      <c r="R217" s="47">
        <v>185</v>
      </c>
      <c r="S217" s="48">
        <f t="shared" si="71"/>
        <v>432</v>
      </c>
      <c r="T217" s="43">
        <f t="shared" si="76"/>
        <v>190.33333333333334</v>
      </c>
      <c r="U217" s="44">
        <f t="shared" si="73"/>
        <v>44</v>
      </c>
      <c r="V217" s="45">
        <v>382</v>
      </c>
      <c r="W217" s="45">
        <v>1700</v>
      </c>
      <c r="X217" s="45" t="s">
        <v>41</v>
      </c>
      <c r="Y217" s="45" t="s">
        <v>42</v>
      </c>
      <c r="Z217" s="1"/>
      <c r="AA217" s="1"/>
    </row>
    <row r="218" spans="1:27" s="49" customFormat="1" ht="16.5" customHeight="1" thickBot="1" x14ac:dyDescent="0.25">
      <c r="A218" s="98">
        <v>216</v>
      </c>
      <c r="B218" s="102" t="s">
        <v>35</v>
      </c>
      <c r="C218" s="103" t="s">
        <v>36</v>
      </c>
      <c r="D218" s="103" t="s">
        <v>37</v>
      </c>
      <c r="E218" s="103" t="s">
        <v>116</v>
      </c>
      <c r="F218" s="104" t="s">
        <v>103</v>
      </c>
      <c r="G218" s="99" t="s">
        <v>211</v>
      </c>
      <c r="H218" s="115" t="s">
        <v>23</v>
      </c>
      <c r="I218" s="121"/>
      <c r="J218" s="122"/>
      <c r="K218" s="116" t="s">
        <v>25</v>
      </c>
      <c r="L218" s="103">
        <v>3</v>
      </c>
      <c r="M218" s="103">
        <v>4</v>
      </c>
      <c r="N218" s="117">
        <v>800</v>
      </c>
      <c r="O218" s="118">
        <f t="shared" si="70"/>
        <v>7.3333333333333144</v>
      </c>
      <c r="P218" s="117">
        <v>418</v>
      </c>
      <c r="Q218" s="117">
        <v>401</v>
      </c>
      <c r="R218" s="117">
        <v>413</v>
      </c>
      <c r="S218" s="120">
        <f t="shared" ref="S218:S225" si="77">1.44*N218</f>
        <v>1152</v>
      </c>
      <c r="T218" s="118">
        <f t="shared" ref="T218:T226" si="78">(R218+Q218+P218)/3</f>
        <v>410.66666666666669</v>
      </c>
      <c r="U218" s="100">
        <f t="shared" si="73"/>
        <v>36</v>
      </c>
      <c r="V218" s="104">
        <v>381</v>
      </c>
      <c r="W218" s="104">
        <v>1700</v>
      </c>
      <c r="X218" s="104" t="s">
        <v>41</v>
      </c>
      <c r="Y218" s="104" t="s">
        <v>42</v>
      </c>
      <c r="Z218" s="1"/>
      <c r="AA218" s="1"/>
    </row>
    <row r="219" spans="1:27" s="49" customFormat="1" ht="16.5" customHeight="1" thickBot="1" x14ac:dyDescent="0.3">
      <c r="A219" s="84">
        <v>217</v>
      </c>
      <c r="B219" s="52" t="s">
        <v>35</v>
      </c>
      <c r="C219" s="41" t="s">
        <v>36</v>
      </c>
      <c r="D219" s="41" t="s">
        <v>37</v>
      </c>
      <c r="E219" s="41" t="s">
        <v>116</v>
      </c>
      <c r="F219" s="45" t="s">
        <v>103</v>
      </c>
      <c r="G219" s="42" t="s">
        <v>210</v>
      </c>
      <c r="H219" s="46" t="s">
        <v>23</v>
      </c>
      <c r="I219" s="62"/>
      <c r="J219" s="70"/>
      <c r="K219" s="66" t="s">
        <v>28</v>
      </c>
      <c r="L219" s="41">
        <v>3</v>
      </c>
      <c r="M219" s="41">
        <v>1</v>
      </c>
      <c r="N219" s="47">
        <v>300</v>
      </c>
      <c r="O219" s="43">
        <f t="shared" si="70"/>
        <v>5.6666666666666572</v>
      </c>
      <c r="P219" s="57">
        <v>129</v>
      </c>
      <c r="Q219" s="57">
        <v>138</v>
      </c>
      <c r="R219" s="57">
        <v>130</v>
      </c>
      <c r="S219" s="48">
        <f t="shared" si="77"/>
        <v>432</v>
      </c>
      <c r="T219" s="43">
        <f t="shared" si="78"/>
        <v>132.33333333333334</v>
      </c>
      <c r="U219" s="44">
        <f t="shared" si="73"/>
        <v>31</v>
      </c>
      <c r="V219" s="45">
        <v>381</v>
      </c>
      <c r="W219" s="45">
        <v>1700</v>
      </c>
      <c r="X219" s="45" t="s">
        <v>41</v>
      </c>
      <c r="Y219" s="45" t="s">
        <v>42</v>
      </c>
      <c r="Z219" s="1"/>
      <c r="AA219" s="1"/>
    </row>
    <row r="220" spans="1:27" s="49" customFormat="1" ht="16.5" customHeight="1" thickBot="1" x14ac:dyDescent="0.3">
      <c r="A220" s="98">
        <v>218</v>
      </c>
      <c r="B220" s="102" t="s">
        <v>35</v>
      </c>
      <c r="C220" s="103" t="s">
        <v>36</v>
      </c>
      <c r="D220" s="103" t="s">
        <v>69</v>
      </c>
      <c r="E220" s="103" t="s">
        <v>116</v>
      </c>
      <c r="F220" s="104" t="s">
        <v>103</v>
      </c>
      <c r="G220" s="99" t="s">
        <v>546</v>
      </c>
      <c r="H220" s="115" t="s">
        <v>23</v>
      </c>
      <c r="I220" s="107"/>
      <c r="J220" s="108"/>
      <c r="K220" s="116" t="s">
        <v>28</v>
      </c>
      <c r="L220" s="103">
        <v>3</v>
      </c>
      <c r="M220" s="103">
        <v>3</v>
      </c>
      <c r="N220" s="117">
        <v>100</v>
      </c>
      <c r="O220" s="118">
        <f t="shared" si="70"/>
        <v>4.6666666666666714</v>
      </c>
      <c r="P220" s="119">
        <v>89</v>
      </c>
      <c r="Q220" s="119">
        <v>98</v>
      </c>
      <c r="R220" s="119">
        <v>93</v>
      </c>
      <c r="S220" s="120">
        <f t="shared" si="77"/>
        <v>144</v>
      </c>
      <c r="T220" s="118">
        <f t="shared" si="78"/>
        <v>93.333333333333329</v>
      </c>
      <c r="U220" s="100">
        <f t="shared" si="73"/>
        <v>65</v>
      </c>
      <c r="V220" s="104">
        <v>381</v>
      </c>
      <c r="W220" s="104">
        <v>1700</v>
      </c>
      <c r="X220" s="104" t="s">
        <v>41</v>
      </c>
      <c r="Y220" s="104" t="s">
        <v>42</v>
      </c>
      <c r="Z220" s="1"/>
      <c r="AA220" s="1"/>
    </row>
    <row r="221" spans="1:27" s="49" customFormat="1" ht="16.5" customHeight="1" thickBot="1" x14ac:dyDescent="0.3">
      <c r="A221" s="98">
        <v>219</v>
      </c>
      <c r="B221" s="102" t="s">
        <v>35</v>
      </c>
      <c r="C221" s="103" t="s">
        <v>36</v>
      </c>
      <c r="D221" s="103" t="s">
        <v>37</v>
      </c>
      <c r="E221" s="103" t="s">
        <v>116</v>
      </c>
      <c r="F221" s="104" t="s">
        <v>103</v>
      </c>
      <c r="G221" s="99" t="s">
        <v>116</v>
      </c>
      <c r="H221" s="115" t="s">
        <v>23</v>
      </c>
      <c r="I221" s="121"/>
      <c r="J221" s="122"/>
      <c r="K221" s="116" t="s">
        <v>25</v>
      </c>
      <c r="L221" s="103">
        <v>3</v>
      </c>
      <c r="M221" s="103">
        <v>4</v>
      </c>
      <c r="N221" s="117">
        <v>1000</v>
      </c>
      <c r="O221" s="118">
        <f t="shared" si="70"/>
        <v>7</v>
      </c>
      <c r="P221" s="119">
        <v>518</v>
      </c>
      <c r="Q221" s="119">
        <v>526</v>
      </c>
      <c r="R221" s="119">
        <v>513</v>
      </c>
      <c r="S221" s="120">
        <f t="shared" si="77"/>
        <v>1440</v>
      </c>
      <c r="T221" s="118">
        <f t="shared" si="78"/>
        <v>519</v>
      </c>
      <c r="U221" s="100">
        <f t="shared" si="73"/>
        <v>36</v>
      </c>
      <c r="V221" s="104">
        <v>382</v>
      </c>
      <c r="W221" s="104">
        <v>1700</v>
      </c>
      <c r="X221" s="104" t="s">
        <v>41</v>
      </c>
      <c r="Y221" s="104" t="s">
        <v>42</v>
      </c>
      <c r="Z221" s="1">
        <f t="shared" si="74"/>
        <v>10.5</v>
      </c>
      <c r="AA221" s="1">
        <f t="shared" si="69"/>
        <v>-4.3301270189222123</v>
      </c>
    </row>
    <row r="222" spans="1:27" s="49" customFormat="1" ht="16.5" customHeight="1" thickBot="1" x14ac:dyDescent="0.3">
      <c r="A222" s="98">
        <v>220</v>
      </c>
      <c r="B222" s="102" t="s">
        <v>35</v>
      </c>
      <c r="C222" s="103" t="s">
        <v>36</v>
      </c>
      <c r="D222" s="103" t="s">
        <v>37</v>
      </c>
      <c r="E222" s="103" t="s">
        <v>116</v>
      </c>
      <c r="F222" s="104" t="s">
        <v>103</v>
      </c>
      <c r="G222" s="99" t="s">
        <v>198</v>
      </c>
      <c r="H222" s="115" t="s">
        <v>23</v>
      </c>
      <c r="I222" s="107"/>
      <c r="J222" s="108"/>
      <c r="K222" s="116" t="s">
        <v>28</v>
      </c>
      <c r="L222" s="103">
        <v>3</v>
      </c>
      <c r="M222" s="103"/>
      <c r="N222" s="117">
        <v>300</v>
      </c>
      <c r="O222" s="118">
        <f t="shared" si="70"/>
        <v>6</v>
      </c>
      <c r="P222" s="119">
        <v>131</v>
      </c>
      <c r="Q222" s="119">
        <v>135</v>
      </c>
      <c r="R222" s="119">
        <v>142</v>
      </c>
      <c r="S222" s="120">
        <f t="shared" si="77"/>
        <v>432</v>
      </c>
      <c r="T222" s="118">
        <f t="shared" si="78"/>
        <v>136</v>
      </c>
      <c r="U222" s="100">
        <f t="shared" si="73"/>
        <v>31</v>
      </c>
      <c r="V222" s="104">
        <v>381</v>
      </c>
      <c r="W222" s="104">
        <v>1700</v>
      </c>
      <c r="X222" s="104" t="s">
        <v>41</v>
      </c>
      <c r="Y222" s="104" t="s">
        <v>42</v>
      </c>
      <c r="Z222" s="1">
        <f t="shared" si="74"/>
        <v>-1.5</v>
      </c>
      <c r="AA222" s="1">
        <f t="shared" si="69"/>
        <v>9.5262794416288301</v>
      </c>
    </row>
    <row r="223" spans="1:27" s="49" customFormat="1" ht="16.5" customHeight="1" thickBot="1" x14ac:dyDescent="0.3">
      <c r="A223" s="98">
        <v>221</v>
      </c>
      <c r="B223" s="102" t="s">
        <v>35</v>
      </c>
      <c r="C223" s="103" t="s">
        <v>36</v>
      </c>
      <c r="D223" s="103" t="s">
        <v>37</v>
      </c>
      <c r="E223" s="103" t="s">
        <v>116</v>
      </c>
      <c r="F223" s="104" t="s">
        <v>103</v>
      </c>
      <c r="G223" s="99" t="s">
        <v>199</v>
      </c>
      <c r="H223" s="115" t="s">
        <v>23</v>
      </c>
      <c r="I223" s="107"/>
      <c r="J223" s="108"/>
      <c r="K223" s="116" t="s">
        <v>28</v>
      </c>
      <c r="L223" s="103">
        <v>3</v>
      </c>
      <c r="M223" s="103"/>
      <c r="N223" s="117">
        <v>500</v>
      </c>
      <c r="O223" s="118">
        <f t="shared" si="70"/>
        <v>4.6666666666666572</v>
      </c>
      <c r="P223" s="119">
        <v>239</v>
      </c>
      <c r="Q223" s="119">
        <v>228</v>
      </c>
      <c r="R223" s="119">
        <v>236</v>
      </c>
      <c r="S223" s="120">
        <f t="shared" si="77"/>
        <v>720</v>
      </c>
      <c r="T223" s="118">
        <f t="shared" si="78"/>
        <v>234.33333333333334</v>
      </c>
      <c r="U223" s="100">
        <f t="shared" si="73"/>
        <v>33</v>
      </c>
      <c r="V223" s="104">
        <v>381</v>
      </c>
      <c r="W223" s="104">
        <v>1700</v>
      </c>
      <c r="X223" s="104" t="s">
        <v>41</v>
      </c>
      <c r="Y223" s="104" t="s">
        <v>42</v>
      </c>
      <c r="Z223" s="1">
        <f t="shared" si="74"/>
        <v>-9.5</v>
      </c>
      <c r="AA223" s="1">
        <f t="shared" si="69"/>
        <v>-2.598076211353316</v>
      </c>
    </row>
    <row r="224" spans="1:27" s="49" customFormat="1" ht="16.5" customHeight="1" thickBot="1" x14ac:dyDescent="0.3">
      <c r="A224" s="84">
        <v>222</v>
      </c>
      <c r="B224" s="52" t="s">
        <v>35</v>
      </c>
      <c r="C224" s="41" t="s">
        <v>36</v>
      </c>
      <c r="D224" s="41" t="s">
        <v>37</v>
      </c>
      <c r="E224" s="41" t="s">
        <v>116</v>
      </c>
      <c r="F224" s="45" t="s">
        <v>103</v>
      </c>
      <c r="G224" s="42" t="s">
        <v>201</v>
      </c>
      <c r="H224" s="46" t="s">
        <v>23</v>
      </c>
      <c r="I224" s="62"/>
      <c r="J224" s="70"/>
      <c r="K224" s="66" t="s">
        <v>28</v>
      </c>
      <c r="L224" s="41">
        <v>3</v>
      </c>
      <c r="M224" s="41">
        <v>1</v>
      </c>
      <c r="N224" s="47">
        <v>500</v>
      </c>
      <c r="O224" s="43">
        <f t="shared" si="70"/>
        <v>7</v>
      </c>
      <c r="P224" s="57">
        <v>223</v>
      </c>
      <c r="Q224" s="57">
        <v>235</v>
      </c>
      <c r="R224" s="57">
        <v>226</v>
      </c>
      <c r="S224" s="48">
        <f t="shared" si="77"/>
        <v>720</v>
      </c>
      <c r="T224" s="43">
        <f t="shared" si="78"/>
        <v>228</v>
      </c>
      <c r="U224" s="44">
        <f t="shared" si="73"/>
        <v>32</v>
      </c>
      <c r="V224" s="45">
        <v>380</v>
      </c>
      <c r="W224" s="45">
        <v>1700</v>
      </c>
      <c r="X224" s="45" t="s">
        <v>41</v>
      </c>
      <c r="Y224" s="45" t="s">
        <v>42</v>
      </c>
      <c r="Z224" s="1"/>
      <c r="AA224" s="1"/>
    </row>
    <row r="225" spans="1:27" s="49" customFormat="1" ht="16.5" customHeight="1" thickBot="1" x14ac:dyDescent="0.3">
      <c r="A225" s="84">
        <v>223</v>
      </c>
      <c r="B225" s="52" t="s">
        <v>35</v>
      </c>
      <c r="C225" s="41" t="s">
        <v>36</v>
      </c>
      <c r="D225" s="41" t="s">
        <v>37</v>
      </c>
      <c r="E225" s="41" t="s">
        <v>116</v>
      </c>
      <c r="F225" s="45" t="s">
        <v>103</v>
      </c>
      <c r="G225" s="42" t="s">
        <v>200</v>
      </c>
      <c r="H225" s="46" t="s">
        <v>23</v>
      </c>
      <c r="I225" s="62"/>
      <c r="J225" s="70"/>
      <c r="K225" s="66" t="s">
        <v>28</v>
      </c>
      <c r="L225" s="41">
        <v>3</v>
      </c>
      <c r="M225" s="41">
        <v>1</v>
      </c>
      <c r="N225" s="47">
        <v>500</v>
      </c>
      <c r="O225" s="43">
        <f t="shared" si="70"/>
        <v>5</v>
      </c>
      <c r="P225" s="57">
        <v>229</v>
      </c>
      <c r="Q225" s="57">
        <v>217</v>
      </c>
      <c r="R225" s="57">
        <v>226</v>
      </c>
      <c r="S225" s="48">
        <f t="shared" si="77"/>
        <v>720</v>
      </c>
      <c r="T225" s="43">
        <f t="shared" si="78"/>
        <v>224</v>
      </c>
      <c r="U225" s="44">
        <f t="shared" si="73"/>
        <v>31</v>
      </c>
      <c r="V225" s="45">
        <v>380</v>
      </c>
      <c r="W225" s="45">
        <v>1700</v>
      </c>
      <c r="X225" s="45" t="s">
        <v>41</v>
      </c>
      <c r="Y225" s="45" t="s">
        <v>42</v>
      </c>
      <c r="Z225" s="1">
        <f t="shared" si="74"/>
        <v>-10.5</v>
      </c>
      <c r="AA225" s="1">
        <f t="shared" si="69"/>
        <v>-2.598076211353316</v>
      </c>
    </row>
    <row r="226" spans="1:27" s="49" customFormat="1" ht="16.5" customHeight="1" thickBot="1" x14ac:dyDescent="0.25">
      <c r="A226" s="84">
        <v>224</v>
      </c>
      <c r="B226" s="52" t="s">
        <v>35</v>
      </c>
      <c r="C226" s="41" t="s">
        <v>36</v>
      </c>
      <c r="D226" s="41" t="s">
        <v>37</v>
      </c>
      <c r="E226" s="41" t="s">
        <v>116</v>
      </c>
      <c r="F226" s="45" t="s">
        <v>204</v>
      </c>
      <c r="G226" s="42" t="s">
        <v>458</v>
      </c>
      <c r="H226" s="46" t="s">
        <v>26</v>
      </c>
      <c r="I226" s="62"/>
      <c r="J226" s="70"/>
      <c r="K226" s="66" t="s">
        <v>25</v>
      </c>
      <c r="L226" s="41">
        <v>3</v>
      </c>
      <c r="M226" s="41"/>
      <c r="N226" s="47">
        <v>500</v>
      </c>
      <c r="O226" s="43">
        <f t="shared" si="70"/>
        <v>5.6666666666666856</v>
      </c>
      <c r="P226" s="47">
        <v>279</v>
      </c>
      <c r="Q226" s="47">
        <v>286</v>
      </c>
      <c r="R226" s="47">
        <v>276</v>
      </c>
      <c r="S226" s="48">
        <f t="shared" ref="S226:S239" si="79">1.44*N226</f>
        <v>720</v>
      </c>
      <c r="T226" s="43">
        <f t="shared" si="78"/>
        <v>280.33333333333331</v>
      </c>
      <c r="U226" s="44">
        <f t="shared" si="73"/>
        <v>39</v>
      </c>
      <c r="V226" s="45">
        <v>380</v>
      </c>
      <c r="W226" s="45">
        <v>1700</v>
      </c>
      <c r="X226" s="45" t="s">
        <v>41</v>
      </c>
      <c r="Y226" s="45" t="s">
        <v>42</v>
      </c>
      <c r="Z226" s="1">
        <f t="shared" si="74"/>
        <v>8.5</v>
      </c>
      <c r="AA226" s="1">
        <f t="shared" si="69"/>
        <v>-2.598076211353316</v>
      </c>
    </row>
    <row r="227" spans="1:27" s="49" customFormat="1" ht="16.5" customHeight="1" thickBot="1" x14ac:dyDescent="0.3">
      <c r="A227" s="84">
        <v>225</v>
      </c>
      <c r="B227" s="52" t="s">
        <v>35</v>
      </c>
      <c r="C227" s="41" t="s">
        <v>36</v>
      </c>
      <c r="D227" s="41" t="s">
        <v>37</v>
      </c>
      <c r="E227" s="41" t="s">
        <v>116</v>
      </c>
      <c r="F227" s="45" t="s">
        <v>204</v>
      </c>
      <c r="G227" s="42" t="s">
        <v>205</v>
      </c>
      <c r="H227" s="46" t="s">
        <v>23</v>
      </c>
      <c r="I227" s="62" t="s">
        <v>573</v>
      </c>
      <c r="J227" s="70">
        <v>1986</v>
      </c>
      <c r="K227" s="66" t="s">
        <v>28</v>
      </c>
      <c r="L227" s="41">
        <v>3</v>
      </c>
      <c r="M227" s="41">
        <v>1</v>
      </c>
      <c r="N227" s="47">
        <v>300</v>
      </c>
      <c r="O227" s="43">
        <f t="shared" si="70"/>
        <v>6</v>
      </c>
      <c r="P227" s="57">
        <v>135</v>
      </c>
      <c r="Q227" s="57">
        <v>146</v>
      </c>
      <c r="R227" s="57">
        <v>139</v>
      </c>
      <c r="S227" s="48">
        <f t="shared" si="79"/>
        <v>432</v>
      </c>
      <c r="T227" s="43">
        <f t="shared" ref="T227:T239" si="80">(R227+Q227+P227)/3</f>
        <v>140</v>
      </c>
      <c r="U227" s="44">
        <f t="shared" si="73"/>
        <v>32</v>
      </c>
      <c r="V227" s="45">
        <v>381</v>
      </c>
      <c r="W227" s="45">
        <v>1700</v>
      </c>
      <c r="X227" s="45" t="s">
        <v>41</v>
      </c>
      <c r="Y227" s="45" t="s">
        <v>42</v>
      </c>
      <c r="Z227" s="1">
        <f t="shared" si="74"/>
        <v>9</v>
      </c>
      <c r="AA227" s="1">
        <f t="shared" si="69"/>
        <v>3.4641016151377642</v>
      </c>
    </row>
    <row r="228" spans="1:27" s="49" customFormat="1" ht="16.5" customHeight="1" thickBot="1" x14ac:dyDescent="0.3">
      <c r="A228" s="84">
        <v>226</v>
      </c>
      <c r="B228" s="52" t="s">
        <v>35</v>
      </c>
      <c r="C228" s="41" t="s">
        <v>36</v>
      </c>
      <c r="D228" s="41" t="s">
        <v>37</v>
      </c>
      <c r="E228" s="41" t="s">
        <v>116</v>
      </c>
      <c r="F228" s="45" t="s">
        <v>204</v>
      </c>
      <c r="G228" s="42" t="s">
        <v>206</v>
      </c>
      <c r="H228" s="46" t="s">
        <v>23</v>
      </c>
      <c r="I228" s="62" t="s">
        <v>573</v>
      </c>
      <c r="J228" s="70">
        <v>1985</v>
      </c>
      <c r="K228" s="66" t="s">
        <v>28</v>
      </c>
      <c r="L228" s="41">
        <v>3</v>
      </c>
      <c r="M228" s="41">
        <v>1</v>
      </c>
      <c r="N228" s="47">
        <v>300</v>
      </c>
      <c r="O228" s="43">
        <f t="shared" si="70"/>
        <v>4</v>
      </c>
      <c r="P228" s="57">
        <v>137</v>
      </c>
      <c r="Q228" s="57">
        <v>127</v>
      </c>
      <c r="R228" s="57">
        <v>135</v>
      </c>
      <c r="S228" s="48">
        <f t="shared" si="79"/>
        <v>432</v>
      </c>
      <c r="T228" s="43">
        <f t="shared" si="80"/>
        <v>133</v>
      </c>
      <c r="U228" s="44">
        <f t="shared" si="73"/>
        <v>31</v>
      </c>
      <c r="V228" s="45">
        <v>380</v>
      </c>
      <c r="W228" s="45">
        <v>1700</v>
      </c>
      <c r="X228" s="45" t="s">
        <v>41</v>
      </c>
      <c r="Y228" s="45" t="s">
        <v>42</v>
      </c>
      <c r="Z228" s="1">
        <f t="shared" si="74"/>
        <v>-9</v>
      </c>
      <c r="AA228" s="1">
        <f t="shared" si="69"/>
        <v>-1.7320508075688821</v>
      </c>
    </row>
    <row r="229" spans="1:27" s="49" customFormat="1" ht="16.5" customHeight="1" thickBot="1" x14ac:dyDescent="0.3">
      <c r="A229" s="98">
        <v>227</v>
      </c>
      <c r="B229" s="102" t="s">
        <v>35</v>
      </c>
      <c r="C229" s="103" t="s">
        <v>36</v>
      </c>
      <c r="D229" s="103" t="s">
        <v>37</v>
      </c>
      <c r="E229" s="103" t="s">
        <v>116</v>
      </c>
      <c r="F229" s="104" t="s">
        <v>204</v>
      </c>
      <c r="G229" s="99" t="s">
        <v>207</v>
      </c>
      <c r="H229" s="115" t="s">
        <v>23</v>
      </c>
      <c r="I229" s="107" t="s">
        <v>573</v>
      </c>
      <c r="J229" s="108">
        <v>1997</v>
      </c>
      <c r="K229" s="116" t="s">
        <v>28</v>
      </c>
      <c r="L229" s="103">
        <v>3</v>
      </c>
      <c r="M229" s="103"/>
      <c r="N229" s="117">
        <v>300</v>
      </c>
      <c r="O229" s="118">
        <f t="shared" si="70"/>
        <v>5.3333333333333428</v>
      </c>
      <c r="P229" s="119">
        <v>154</v>
      </c>
      <c r="Q229" s="119">
        <v>156</v>
      </c>
      <c r="R229" s="119">
        <v>163</v>
      </c>
      <c r="S229" s="120">
        <f t="shared" si="79"/>
        <v>432</v>
      </c>
      <c r="T229" s="118">
        <f t="shared" si="80"/>
        <v>157.66666666666666</v>
      </c>
      <c r="U229" s="100">
        <f t="shared" si="73"/>
        <v>36</v>
      </c>
      <c r="V229" s="104">
        <v>380</v>
      </c>
      <c r="W229" s="104">
        <v>1700</v>
      </c>
      <c r="X229" s="104" t="s">
        <v>41</v>
      </c>
      <c r="Y229" s="104" t="s">
        <v>42</v>
      </c>
      <c r="Z229" s="1">
        <f t="shared" si="74"/>
        <v>-2.5</v>
      </c>
      <c r="AA229" s="1">
        <f t="shared" si="69"/>
        <v>7.794228634059948</v>
      </c>
    </row>
    <row r="230" spans="1:27" s="49" customFormat="1" ht="16.149999999999999" customHeight="1" thickBot="1" x14ac:dyDescent="0.3">
      <c r="A230" s="84">
        <v>228</v>
      </c>
      <c r="B230" s="52" t="s">
        <v>35</v>
      </c>
      <c r="C230" s="41" t="s">
        <v>36</v>
      </c>
      <c r="D230" s="41" t="s">
        <v>37</v>
      </c>
      <c r="E230" s="41" t="s">
        <v>116</v>
      </c>
      <c r="F230" s="45" t="s">
        <v>204</v>
      </c>
      <c r="G230" s="42" t="s">
        <v>557</v>
      </c>
      <c r="H230" s="46" t="s">
        <v>23</v>
      </c>
      <c r="I230" s="62" t="s">
        <v>573</v>
      </c>
      <c r="J230" s="70">
        <v>1997</v>
      </c>
      <c r="K230" s="66" t="s">
        <v>28</v>
      </c>
      <c r="L230" s="41">
        <v>3</v>
      </c>
      <c r="M230" s="41"/>
      <c r="N230" s="47">
        <v>500</v>
      </c>
      <c r="O230" s="43">
        <f t="shared" si="70"/>
        <v>8.3333333333333144</v>
      </c>
      <c r="P230" s="57">
        <v>269</v>
      </c>
      <c r="Q230" s="57">
        <v>252</v>
      </c>
      <c r="R230" s="57">
        <v>273</v>
      </c>
      <c r="S230" s="48">
        <f t="shared" si="79"/>
        <v>720</v>
      </c>
      <c r="T230" s="43">
        <f t="shared" si="80"/>
        <v>264.66666666666669</v>
      </c>
      <c r="U230" s="44">
        <f t="shared" si="73"/>
        <v>37</v>
      </c>
      <c r="V230" s="45">
        <v>382</v>
      </c>
      <c r="W230" s="45">
        <v>1700</v>
      </c>
      <c r="X230" s="45" t="s">
        <v>41</v>
      </c>
      <c r="Y230" s="45" t="s">
        <v>42</v>
      </c>
      <c r="Z230" s="1">
        <f t="shared" si="74"/>
        <v>-19</v>
      </c>
      <c r="AA230" s="1">
        <f t="shared" si="69"/>
        <v>3.4641016151377357</v>
      </c>
    </row>
    <row r="231" spans="1:27" s="49" customFormat="1" ht="16.5" customHeight="1" thickBot="1" x14ac:dyDescent="0.3">
      <c r="A231" s="98">
        <v>229</v>
      </c>
      <c r="B231" s="102" t="s">
        <v>35</v>
      </c>
      <c r="C231" s="103" t="s">
        <v>36</v>
      </c>
      <c r="D231" s="103" t="s">
        <v>37</v>
      </c>
      <c r="E231" s="103" t="s">
        <v>116</v>
      </c>
      <c r="F231" s="104" t="s">
        <v>204</v>
      </c>
      <c r="G231" s="99" t="s">
        <v>208</v>
      </c>
      <c r="H231" s="115" t="s">
        <v>23</v>
      </c>
      <c r="I231" s="107" t="s">
        <v>573</v>
      </c>
      <c r="J231" s="108">
        <v>1997</v>
      </c>
      <c r="K231" s="116" t="s">
        <v>28</v>
      </c>
      <c r="L231" s="103">
        <v>3</v>
      </c>
      <c r="M231" s="103"/>
      <c r="N231" s="117">
        <v>500</v>
      </c>
      <c r="O231" s="118">
        <f t="shared" si="70"/>
        <v>6.3333333333333428</v>
      </c>
      <c r="P231" s="119">
        <v>256</v>
      </c>
      <c r="Q231" s="119">
        <v>242</v>
      </c>
      <c r="R231" s="119">
        <v>251</v>
      </c>
      <c r="S231" s="120">
        <f t="shared" si="79"/>
        <v>720</v>
      </c>
      <c r="T231" s="118">
        <f t="shared" si="80"/>
        <v>249.66666666666666</v>
      </c>
      <c r="U231" s="100">
        <f t="shared" si="73"/>
        <v>35</v>
      </c>
      <c r="V231" s="104">
        <v>382</v>
      </c>
      <c r="W231" s="104">
        <v>1700</v>
      </c>
      <c r="X231" s="104" t="s">
        <v>41</v>
      </c>
      <c r="Y231" s="104" t="s">
        <v>42</v>
      </c>
      <c r="Z231" s="1">
        <f t="shared" si="74"/>
        <v>-11.5</v>
      </c>
      <c r="AA231" s="1">
        <f t="shared" si="69"/>
        <v>-4.3301270189221839</v>
      </c>
    </row>
    <row r="232" spans="1:27" s="49" customFormat="1" ht="16.5" customHeight="1" thickBot="1" x14ac:dyDescent="0.3">
      <c r="A232" s="84">
        <v>230</v>
      </c>
      <c r="B232" s="52" t="s">
        <v>35</v>
      </c>
      <c r="C232" s="41" t="s">
        <v>36</v>
      </c>
      <c r="D232" s="41" t="s">
        <v>37</v>
      </c>
      <c r="E232" s="41" t="s">
        <v>116</v>
      </c>
      <c r="F232" s="45" t="s">
        <v>204</v>
      </c>
      <c r="G232" s="42" t="s">
        <v>209</v>
      </c>
      <c r="H232" s="46" t="s">
        <v>23</v>
      </c>
      <c r="I232" s="62"/>
      <c r="J232" s="70"/>
      <c r="K232" s="66" t="s">
        <v>28</v>
      </c>
      <c r="L232" s="41">
        <v>3</v>
      </c>
      <c r="M232" s="41">
        <v>1</v>
      </c>
      <c r="N232" s="47">
        <v>300</v>
      </c>
      <c r="O232" s="43">
        <f t="shared" si="70"/>
        <v>5.6666666666666572</v>
      </c>
      <c r="P232" s="57">
        <v>151</v>
      </c>
      <c r="Q232" s="57">
        <v>146</v>
      </c>
      <c r="R232" s="57">
        <v>139</v>
      </c>
      <c r="S232" s="48">
        <f t="shared" si="79"/>
        <v>432</v>
      </c>
      <c r="T232" s="43">
        <f t="shared" si="80"/>
        <v>145.33333333333334</v>
      </c>
      <c r="U232" s="44">
        <f t="shared" si="73"/>
        <v>34</v>
      </c>
      <c r="V232" s="45">
        <v>381</v>
      </c>
      <c r="W232" s="45">
        <v>1700</v>
      </c>
      <c r="X232" s="45" t="s">
        <v>41</v>
      </c>
      <c r="Y232" s="45" t="s">
        <v>42</v>
      </c>
      <c r="Z232" s="1">
        <f t="shared" si="74"/>
        <v>1</v>
      </c>
      <c r="AA232" s="1">
        <f t="shared" si="69"/>
        <v>-10.39230484541325</v>
      </c>
    </row>
    <row r="233" spans="1:27" s="49" customFormat="1" ht="15" customHeight="1" thickBot="1" x14ac:dyDescent="0.25">
      <c r="A233" s="98">
        <v>231</v>
      </c>
      <c r="B233" s="102" t="s">
        <v>35</v>
      </c>
      <c r="C233" s="103" t="s">
        <v>36</v>
      </c>
      <c r="D233" s="103" t="s">
        <v>37</v>
      </c>
      <c r="E233" s="103" t="s">
        <v>116</v>
      </c>
      <c r="F233" s="104" t="s">
        <v>213</v>
      </c>
      <c r="G233" s="99" t="s">
        <v>214</v>
      </c>
      <c r="H233" s="115" t="s">
        <v>23</v>
      </c>
      <c r="I233" s="121"/>
      <c r="J233" s="122"/>
      <c r="K233" s="116" t="s">
        <v>25</v>
      </c>
      <c r="L233" s="103">
        <v>3</v>
      </c>
      <c r="M233" s="103">
        <v>4</v>
      </c>
      <c r="N233" s="117">
        <v>1000</v>
      </c>
      <c r="O233" s="118">
        <f t="shared" si="70"/>
        <v>5.6666666666666288</v>
      </c>
      <c r="P233" s="117">
        <v>526</v>
      </c>
      <c r="Q233" s="117">
        <v>530</v>
      </c>
      <c r="R233" s="117">
        <v>517</v>
      </c>
      <c r="S233" s="120">
        <f t="shared" si="79"/>
        <v>1440</v>
      </c>
      <c r="T233" s="118">
        <f t="shared" si="80"/>
        <v>524.33333333333337</v>
      </c>
      <c r="U233" s="100">
        <f t="shared" si="73"/>
        <v>36</v>
      </c>
      <c r="V233" s="104">
        <v>381</v>
      </c>
      <c r="W233" s="104">
        <v>1700</v>
      </c>
      <c r="X233" s="104" t="s">
        <v>41</v>
      </c>
      <c r="Y233" s="104" t="s">
        <v>42</v>
      </c>
      <c r="Z233" s="1">
        <f t="shared" si="74"/>
        <v>8.5</v>
      </c>
      <c r="AA233" s="1">
        <f t="shared" si="69"/>
        <v>-7.794228634059948</v>
      </c>
    </row>
    <row r="234" spans="1:27" s="49" customFormat="1" ht="16.5" customHeight="1" thickBot="1" x14ac:dyDescent="0.25">
      <c r="A234" s="84">
        <v>232</v>
      </c>
      <c r="B234" s="52" t="s">
        <v>35</v>
      </c>
      <c r="C234" s="41" t="s">
        <v>36</v>
      </c>
      <c r="D234" s="41" t="s">
        <v>37</v>
      </c>
      <c r="E234" s="41" t="s">
        <v>116</v>
      </c>
      <c r="F234" s="45" t="s">
        <v>213</v>
      </c>
      <c r="G234" s="42" t="s">
        <v>219</v>
      </c>
      <c r="H234" s="46" t="s">
        <v>23</v>
      </c>
      <c r="I234" s="62"/>
      <c r="J234" s="70"/>
      <c r="K234" s="66" t="s">
        <v>28</v>
      </c>
      <c r="L234" s="41">
        <v>3</v>
      </c>
      <c r="M234" s="41"/>
      <c r="N234" s="47">
        <v>500</v>
      </c>
      <c r="O234" s="43">
        <f t="shared" si="70"/>
        <v>7</v>
      </c>
      <c r="P234" s="47">
        <v>249</v>
      </c>
      <c r="Q234" s="47">
        <v>234</v>
      </c>
      <c r="R234" s="47">
        <v>243</v>
      </c>
      <c r="S234" s="48">
        <f t="shared" si="79"/>
        <v>720</v>
      </c>
      <c r="T234" s="43">
        <f t="shared" si="80"/>
        <v>242</v>
      </c>
      <c r="U234" s="44">
        <f t="shared" si="73"/>
        <v>34</v>
      </c>
      <c r="V234" s="45">
        <v>380</v>
      </c>
      <c r="W234" s="45">
        <v>1700</v>
      </c>
      <c r="X234" s="45" t="s">
        <v>41</v>
      </c>
      <c r="Y234" s="45" t="s">
        <v>42</v>
      </c>
      <c r="Z234" s="1"/>
      <c r="AA234" s="1"/>
    </row>
    <row r="235" spans="1:27" s="49" customFormat="1" ht="16.149999999999999" customHeight="1" thickBot="1" x14ac:dyDescent="0.25">
      <c r="A235" s="84">
        <v>233</v>
      </c>
      <c r="B235" s="52" t="s">
        <v>35</v>
      </c>
      <c r="C235" s="41" t="s">
        <v>36</v>
      </c>
      <c r="D235" s="41" t="s">
        <v>37</v>
      </c>
      <c r="E235" s="41" t="s">
        <v>116</v>
      </c>
      <c r="F235" s="45" t="s">
        <v>213</v>
      </c>
      <c r="G235" s="42" t="s">
        <v>215</v>
      </c>
      <c r="H235" s="46" t="s">
        <v>23</v>
      </c>
      <c r="I235" s="62"/>
      <c r="J235" s="70"/>
      <c r="K235" s="66" t="s">
        <v>28</v>
      </c>
      <c r="L235" s="41">
        <v>3</v>
      </c>
      <c r="M235" s="41">
        <v>2</v>
      </c>
      <c r="N235" s="47">
        <v>500</v>
      </c>
      <c r="O235" s="43">
        <f t="shared" si="70"/>
        <v>6</v>
      </c>
      <c r="P235" s="47">
        <v>256</v>
      </c>
      <c r="Q235" s="47">
        <v>243</v>
      </c>
      <c r="R235" s="47">
        <v>251</v>
      </c>
      <c r="S235" s="48">
        <f t="shared" si="79"/>
        <v>720</v>
      </c>
      <c r="T235" s="43">
        <f t="shared" si="80"/>
        <v>250</v>
      </c>
      <c r="U235" s="44">
        <f t="shared" si="73"/>
        <v>35</v>
      </c>
      <c r="V235" s="45">
        <v>381</v>
      </c>
      <c r="W235" s="45">
        <v>1700</v>
      </c>
      <c r="X235" s="45" t="s">
        <v>41</v>
      </c>
      <c r="Y235" s="45" t="s">
        <v>42</v>
      </c>
      <c r="Z235" s="61">
        <f t="shared" si="74"/>
        <v>-10.5</v>
      </c>
      <c r="AA235" s="61">
        <f t="shared" si="69"/>
        <v>-4.3301270189221839</v>
      </c>
    </row>
    <row r="236" spans="1:27" s="49" customFormat="1" ht="16.5" customHeight="1" thickBot="1" x14ac:dyDescent="0.25">
      <c r="A236" s="84">
        <v>234</v>
      </c>
      <c r="B236" s="52" t="s">
        <v>35</v>
      </c>
      <c r="C236" s="41" t="s">
        <v>36</v>
      </c>
      <c r="D236" s="41" t="s">
        <v>37</v>
      </c>
      <c r="E236" s="41" t="s">
        <v>116</v>
      </c>
      <c r="F236" s="45" t="s">
        <v>213</v>
      </c>
      <c r="G236" s="42" t="s">
        <v>217</v>
      </c>
      <c r="H236" s="46" t="s">
        <v>23</v>
      </c>
      <c r="I236" s="62"/>
      <c r="J236" s="70"/>
      <c r="K236" s="66" t="s">
        <v>28</v>
      </c>
      <c r="L236" s="41">
        <v>3</v>
      </c>
      <c r="M236" s="41">
        <v>2</v>
      </c>
      <c r="N236" s="47">
        <v>500</v>
      </c>
      <c r="O236" s="43">
        <f t="shared" si="70"/>
        <v>7</v>
      </c>
      <c r="P236" s="47">
        <v>309</v>
      </c>
      <c r="Q236" s="47">
        <v>318</v>
      </c>
      <c r="R236" s="47">
        <v>306</v>
      </c>
      <c r="S236" s="48">
        <f t="shared" si="79"/>
        <v>720</v>
      </c>
      <c r="T236" s="43">
        <f t="shared" si="80"/>
        <v>311</v>
      </c>
      <c r="U236" s="44">
        <f t="shared" si="73"/>
        <v>43</v>
      </c>
      <c r="V236" s="45">
        <v>380</v>
      </c>
      <c r="W236" s="45">
        <v>1700</v>
      </c>
      <c r="X236" s="45" t="s">
        <v>41</v>
      </c>
      <c r="Y236" s="45" t="s">
        <v>42</v>
      </c>
      <c r="Z236" s="61"/>
      <c r="AA236" s="61"/>
    </row>
    <row r="237" spans="1:27" s="49" customFormat="1" ht="16.5" customHeight="1" thickBot="1" x14ac:dyDescent="0.25">
      <c r="A237" s="98">
        <v>235</v>
      </c>
      <c r="B237" s="102" t="s">
        <v>35</v>
      </c>
      <c r="C237" s="103" t="s">
        <v>36</v>
      </c>
      <c r="D237" s="103" t="s">
        <v>37</v>
      </c>
      <c r="E237" s="103" t="s">
        <v>116</v>
      </c>
      <c r="F237" s="104" t="s">
        <v>213</v>
      </c>
      <c r="G237" s="99" t="s">
        <v>216</v>
      </c>
      <c r="H237" s="115" t="s">
        <v>23</v>
      </c>
      <c r="I237" s="121"/>
      <c r="J237" s="122"/>
      <c r="K237" s="116" t="s">
        <v>25</v>
      </c>
      <c r="L237" s="103">
        <v>3</v>
      </c>
      <c r="M237" s="103">
        <v>5</v>
      </c>
      <c r="N237" s="117">
        <v>1000</v>
      </c>
      <c r="O237" s="118">
        <f t="shared" si="70"/>
        <v>6</v>
      </c>
      <c r="P237" s="117">
        <v>550</v>
      </c>
      <c r="Q237" s="117">
        <v>544</v>
      </c>
      <c r="R237" s="117">
        <v>556</v>
      </c>
      <c r="S237" s="120">
        <f t="shared" si="79"/>
        <v>1440</v>
      </c>
      <c r="T237" s="118">
        <f t="shared" si="80"/>
        <v>550</v>
      </c>
      <c r="U237" s="100">
        <f t="shared" si="73"/>
        <v>38</v>
      </c>
      <c r="V237" s="104">
        <v>380</v>
      </c>
      <c r="W237" s="104">
        <v>1700</v>
      </c>
      <c r="X237" s="104" t="s">
        <v>41</v>
      </c>
      <c r="Y237" s="104" t="s">
        <v>42</v>
      </c>
      <c r="Z237" s="1">
        <f t="shared" si="74"/>
        <v>-9</v>
      </c>
      <c r="AA237" s="1">
        <f t="shared" si="69"/>
        <v>5.196152422706632</v>
      </c>
    </row>
    <row r="238" spans="1:27" s="49" customFormat="1" ht="16.5" customHeight="1" thickBot="1" x14ac:dyDescent="0.25">
      <c r="A238" s="84">
        <v>236</v>
      </c>
      <c r="B238" s="52" t="s">
        <v>35</v>
      </c>
      <c r="C238" s="41" t="s">
        <v>36</v>
      </c>
      <c r="D238" s="41" t="s">
        <v>37</v>
      </c>
      <c r="E238" s="41" t="s">
        <v>116</v>
      </c>
      <c r="F238" s="45" t="s">
        <v>213</v>
      </c>
      <c r="G238" s="42" t="s">
        <v>218</v>
      </c>
      <c r="H238" s="46" t="s">
        <v>23</v>
      </c>
      <c r="I238" s="62"/>
      <c r="J238" s="70"/>
      <c r="K238" s="66" t="s">
        <v>28</v>
      </c>
      <c r="L238" s="41">
        <v>3</v>
      </c>
      <c r="M238" s="41">
        <v>5</v>
      </c>
      <c r="N238" s="47">
        <v>1000</v>
      </c>
      <c r="O238" s="43">
        <f t="shared" si="70"/>
        <v>5</v>
      </c>
      <c r="P238" s="47">
        <v>670</v>
      </c>
      <c r="Q238" s="47">
        <v>657</v>
      </c>
      <c r="R238" s="47">
        <v>668</v>
      </c>
      <c r="S238" s="48">
        <f t="shared" si="79"/>
        <v>1440</v>
      </c>
      <c r="T238" s="43">
        <f t="shared" si="80"/>
        <v>665</v>
      </c>
      <c r="U238" s="44">
        <f t="shared" si="73"/>
        <v>46</v>
      </c>
      <c r="V238" s="45">
        <v>381</v>
      </c>
      <c r="W238" s="45">
        <v>1700</v>
      </c>
      <c r="X238" s="45" t="s">
        <v>41</v>
      </c>
      <c r="Y238" s="45" t="s">
        <v>42</v>
      </c>
      <c r="Z238" s="1">
        <f t="shared" si="74"/>
        <v>-12</v>
      </c>
      <c r="AA238" s="1">
        <f t="shared" si="69"/>
        <v>-1.7320508075688394</v>
      </c>
    </row>
    <row r="239" spans="1:27" s="49" customFormat="1" ht="16.5" customHeight="1" thickBot="1" x14ac:dyDescent="0.25">
      <c r="A239" s="84">
        <v>237</v>
      </c>
      <c r="B239" s="52" t="s">
        <v>35</v>
      </c>
      <c r="C239" s="41" t="s">
        <v>36</v>
      </c>
      <c r="D239" s="41" t="s">
        <v>37</v>
      </c>
      <c r="E239" s="41" t="s">
        <v>116</v>
      </c>
      <c r="F239" s="45" t="s">
        <v>213</v>
      </c>
      <c r="G239" s="42" t="s">
        <v>459</v>
      </c>
      <c r="H239" s="46" t="s">
        <v>26</v>
      </c>
      <c r="I239" s="62"/>
      <c r="J239" s="70"/>
      <c r="K239" s="66" t="s">
        <v>28</v>
      </c>
      <c r="L239" s="41">
        <v>3</v>
      </c>
      <c r="M239" s="41"/>
      <c r="N239" s="47">
        <v>500</v>
      </c>
      <c r="O239" s="43">
        <f t="shared" si="70"/>
        <v>7.6666666666666856</v>
      </c>
      <c r="P239" s="47">
        <v>305</v>
      </c>
      <c r="Q239" s="47">
        <v>312</v>
      </c>
      <c r="R239" s="47">
        <v>320</v>
      </c>
      <c r="S239" s="48">
        <f t="shared" si="79"/>
        <v>720</v>
      </c>
      <c r="T239" s="43">
        <f t="shared" si="80"/>
        <v>312.33333333333331</v>
      </c>
      <c r="U239" s="44">
        <f t="shared" si="73"/>
        <v>43</v>
      </c>
      <c r="V239" s="45">
        <v>381</v>
      </c>
      <c r="W239" s="45">
        <v>1700</v>
      </c>
      <c r="X239" s="45" t="s">
        <v>41</v>
      </c>
      <c r="Y239" s="45" t="s">
        <v>42</v>
      </c>
      <c r="Z239" s="1">
        <f t="shared" si="74"/>
        <v>-0.5</v>
      </c>
      <c r="AA239" s="1">
        <f t="shared" si="69"/>
        <v>12.99038105676658</v>
      </c>
    </row>
    <row r="240" spans="1:27" s="49" customFormat="1" ht="16.5" customHeight="1" thickBot="1" x14ac:dyDescent="0.25">
      <c r="A240" s="98">
        <v>238</v>
      </c>
      <c r="B240" s="102" t="s">
        <v>35</v>
      </c>
      <c r="C240" s="103" t="s">
        <v>36</v>
      </c>
      <c r="D240" s="103" t="s">
        <v>37</v>
      </c>
      <c r="E240" s="103" t="s">
        <v>116</v>
      </c>
      <c r="F240" s="104" t="s">
        <v>220</v>
      </c>
      <c r="G240" s="99" t="s">
        <v>221</v>
      </c>
      <c r="H240" s="115" t="s">
        <v>23</v>
      </c>
      <c r="I240" s="121"/>
      <c r="J240" s="122"/>
      <c r="K240" s="116" t="s">
        <v>25</v>
      </c>
      <c r="L240" s="103">
        <v>3</v>
      </c>
      <c r="M240" s="103">
        <v>4</v>
      </c>
      <c r="N240" s="117">
        <v>250</v>
      </c>
      <c r="O240" s="118">
        <f t="shared" si="70"/>
        <v>5</v>
      </c>
      <c r="P240" s="117">
        <v>270</v>
      </c>
      <c r="Q240" s="117">
        <v>267</v>
      </c>
      <c r="R240" s="117">
        <v>276</v>
      </c>
      <c r="S240" s="120">
        <f t="shared" ref="S240:S263" si="81">1.44*N240</f>
        <v>360</v>
      </c>
      <c r="T240" s="118">
        <f t="shared" ref="T240:T246" si="82">(R240+Q240+P240)/3</f>
        <v>271</v>
      </c>
      <c r="U240" s="100">
        <f t="shared" si="73"/>
        <v>75</v>
      </c>
      <c r="V240" s="104">
        <v>381</v>
      </c>
      <c r="W240" s="104">
        <v>1700</v>
      </c>
      <c r="X240" s="104" t="s">
        <v>41</v>
      </c>
      <c r="Y240" s="104" t="s">
        <v>42</v>
      </c>
      <c r="Z240" s="1">
        <f t="shared" si="74"/>
        <v>-6</v>
      </c>
      <c r="AA240" s="1">
        <f t="shared" si="69"/>
        <v>5.196152422706632</v>
      </c>
    </row>
    <row r="241" spans="1:27" s="49" customFormat="1" ht="16.5" customHeight="1" thickBot="1" x14ac:dyDescent="0.25">
      <c r="A241" s="98">
        <v>239</v>
      </c>
      <c r="B241" s="102" t="s">
        <v>35</v>
      </c>
      <c r="C241" s="103" t="s">
        <v>36</v>
      </c>
      <c r="D241" s="103" t="s">
        <v>37</v>
      </c>
      <c r="E241" s="103" t="s">
        <v>116</v>
      </c>
      <c r="F241" s="104" t="s">
        <v>220</v>
      </c>
      <c r="G241" s="99" t="s">
        <v>222</v>
      </c>
      <c r="H241" s="115" t="s">
        <v>23</v>
      </c>
      <c r="I241" s="121"/>
      <c r="J241" s="122"/>
      <c r="K241" s="116" t="s">
        <v>25</v>
      </c>
      <c r="L241" s="103">
        <v>3</v>
      </c>
      <c r="M241" s="103">
        <v>3</v>
      </c>
      <c r="N241" s="117">
        <v>500</v>
      </c>
      <c r="O241" s="118">
        <f t="shared" si="70"/>
        <v>5</v>
      </c>
      <c r="P241" s="117">
        <v>251</v>
      </c>
      <c r="Q241" s="117">
        <v>248</v>
      </c>
      <c r="R241" s="117">
        <v>257</v>
      </c>
      <c r="S241" s="120">
        <f t="shared" si="81"/>
        <v>720</v>
      </c>
      <c r="T241" s="118">
        <f t="shared" si="82"/>
        <v>252</v>
      </c>
      <c r="U241" s="100">
        <f t="shared" si="73"/>
        <v>35</v>
      </c>
      <c r="V241" s="104">
        <v>382</v>
      </c>
      <c r="W241" s="104">
        <v>1700</v>
      </c>
      <c r="X241" s="104" t="s">
        <v>41</v>
      </c>
      <c r="Y241" s="104" t="s">
        <v>42</v>
      </c>
      <c r="Z241" s="1">
        <f t="shared" si="74"/>
        <v>-6</v>
      </c>
      <c r="AA241" s="1">
        <f t="shared" si="69"/>
        <v>5.196152422706632</v>
      </c>
    </row>
    <row r="242" spans="1:27" s="49" customFormat="1" ht="16.5" customHeight="1" thickBot="1" x14ac:dyDescent="0.25">
      <c r="A242" s="98">
        <v>240</v>
      </c>
      <c r="B242" s="102" t="s">
        <v>35</v>
      </c>
      <c r="C242" s="103" t="s">
        <v>36</v>
      </c>
      <c r="D242" s="103" t="s">
        <v>37</v>
      </c>
      <c r="E242" s="103" t="s">
        <v>116</v>
      </c>
      <c r="F242" s="104" t="s">
        <v>220</v>
      </c>
      <c r="G242" s="99" t="s">
        <v>223</v>
      </c>
      <c r="H242" s="115" t="s">
        <v>23</v>
      </c>
      <c r="I242" s="121" t="s">
        <v>595</v>
      </c>
      <c r="J242" s="122">
        <v>1985</v>
      </c>
      <c r="K242" s="116" t="s">
        <v>25</v>
      </c>
      <c r="L242" s="103">
        <v>3</v>
      </c>
      <c r="M242" s="103">
        <v>4</v>
      </c>
      <c r="N242" s="117">
        <v>500</v>
      </c>
      <c r="O242" s="118">
        <f t="shared" si="70"/>
        <v>7.3333333333333428</v>
      </c>
      <c r="P242" s="117">
        <v>223</v>
      </c>
      <c r="Q242" s="117">
        <v>235</v>
      </c>
      <c r="R242" s="117">
        <v>225</v>
      </c>
      <c r="S242" s="120">
        <f t="shared" si="81"/>
        <v>720</v>
      </c>
      <c r="T242" s="118">
        <f t="shared" si="82"/>
        <v>227.66666666666666</v>
      </c>
      <c r="U242" s="100">
        <f t="shared" si="73"/>
        <v>32</v>
      </c>
      <c r="V242" s="104">
        <v>382</v>
      </c>
      <c r="W242" s="104">
        <v>1700</v>
      </c>
      <c r="X242" s="104" t="s">
        <v>41</v>
      </c>
      <c r="Y242" s="104" t="s">
        <v>42</v>
      </c>
      <c r="Z242" s="1">
        <f t="shared" si="74"/>
        <v>11</v>
      </c>
      <c r="AA242" s="1">
        <f t="shared" si="69"/>
        <v>1.7320508075688679</v>
      </c>
    </row>
    <row r="243" spans="1:27" s="49" customFormat="1" ht="16.5" customHeight="1" thickBot="1" x14ac:dyDescent="0.25">
      <c r="A243" s="98">
        <v>241</v>
      </c>
      <c r="B243" s="102" t="s">
        <v>35</v>
      </c>
      <c r="C243" s="103" t="s">
        <v>36</v>
      </c>
      <c r="D243" s="103" t="s">
        <v>37</v>
      </c>
      <c r="E243" s="103" t="s">
        <v>116</v>
      </c>
      <c r="F243" s="104" t="s">
        <v>220</v>
      </c>
      <c r="G243" s="99" t="s">
        <v>224</v>
      </c>
      <c r="H243" s="115" t="s">
        <v>23</v>
      </c>
      <c r="I243" s="121" t="s">
        <v>573</v>
      </c>
      <c r="J243" s="122">
        <v>2020</v>
      </c>
      <c r="K243" s="116" t="s">
        <v>25</v>
      </c>
      <c r="L243" s="103">
        <v>3</v>
      </c>
      <c r="M243" s="103">
        <v>6</v>
      </c>
      <c r="N243" s="117">
        <v>1000</v>
      </c>
      <c r="O243" s="118">
        <f t="shared" si="70"/>
        <v>6</v>
      </c>
      <c r="P243" s="117">
        <v>658</v>
      </c>
      <c r="Q243" s="117">
        <v>646</v>
      </c>
      <c r="R243" s="117">
        <v>652</v>
      </c>
      <c r="S243" s="120">
        <f t="shared" si="81"/>
        <v>1440</v>
      </c>
      <c r="T243" s="118">
        <f t="shared" si="82"/>
        <v>652</v>
      </c>
      <c r="U243" s="100">
        <f t="shared" si="73"/>
        <v>45</v>
      </c>
      <c r="V243" s="104">
        <v>380</v>
      </c>
      <c r="W243" s="104">
        <v>1700</v>
      </c>
      <c r="X243" s="104" t="s">
        <v>41</v>
      </c>
      <c r="Y243" s="104" t="s">
        <v>42</v>
      </c>
      <c r="Z243" s="1">
        <f t="shared" si="74"/>
        <v>-9</v>
      </c>
      <c r="AA243" s="1">
        <f t="shared" si="69"/>
        <v>-5.196152422706632</v>
      </c>
    </row>
    <row r="244" spans="1:27" s="49" customFormat="1" ht="16.5" customHeight="1" thickBot="1" x14ac:dyDescent="0.25">
      <c r="A244" s="98">
        <v>242</v>
      </c>
      <c r="B244" s="102" t="s">
        <v>35</v>
      </c>
      <c r="C244" s="103" t="s">
        <v>36</v>
      </c>
      <c r="D244" s="103" t="s">
        <v>37</v>
      </c>
      <c r="E244" s="103" t="s">
        <v>116</v>
      </c>
      <c r="F244" s="104" t="s">
        <v>220</v>
      </c>
      <c r="G244" s="99" t="s">
        <v>225</v>
      </c>
      <c r="H244" s="115" t="s">
        <v>23</v>
      </c>
      <c r="I244" s="128" t="s">
        <v>593</v>
      </c>
      <c r="J244" s="122">
        <v>2023</v>
      </c>
      <c r="K244" s="116" t="s">
        <v>25</v>
      </c>
      <c r="L244" s="103">
        <v>3</v>
      </c>
      <c r="M244" s="103">
        <v>5</v>
      </c>
      <c r="N244" s="117">
        <v>1000</v>
      </c>
      <c r="O244" s="118">
        <f t="shared" si="70"/>
        <v>5.6666666666666288</v>
      </c>
      <c r="P244" s="117">
        <v>640</v>
      </c>
      <c r="Q244" s="117">
        <v>637</v>
      </c>
      <c r="R244" s="117">
        <v>626</v>
      </c>
      <c r="S244" s="120">
        <f t="shared" si="81"/>
        <v>1440</v>
      </c>
      <c r="T244" s="118">
        <f t="shared" si="82"/>
        <v>634.33333333333337</v>
      </c>
      <c r="U244" s="100">
        <f t="shared" si="73"/>
        <v>44</v>
      </c>
      <c r="V244" s="104">
        <v>380</v>
      </c>
      <c r="W244" s="104">
        <v>1700</v>
      </c>
      <c r="X244" s="104" t="s">
        <v>41</v>
      </c>
      <c r="Y244" s="104" t="s">
        <v>42</v>
      </c>
      <c r="Z244" s="1">
        <f t="shared" si="74"/>
        <v>4</v>
      </c>
      <c r="AA244" s="1">
        <f t="shared" si="69"/>
        <v>-12.124355652982103</v>
      </c>
    </row>
    <row r="245" spans="1:27" s="49" customFormat="1" ht="16.5" customHeight="1" thickBot="1" x14ac:dyDescent="0.25">
      <c r="A245" s="84">
        <v>243</v>
      </c>
      <c r="B245" s="52" t="s">
        <v>35</v>
      </c>
      <c r="C245" s="41" t="s">
        <v>36</v>
      </c>
      <c r="D245" s="41" t="s">
        <v>37</v>
      </c>
      <c r="E245" s="41" t="s">
        <v>116</v>
      </c>
      <c r="F245" s="45" t="s">
        <v>220</v>
      </c>
      <c r="G245" s="42" t="s">
        <v>460</v>
      </c>
      <c r="H245" s="46" t="s">
        <v>26</v>
      </c>
      <c r="I245" s="62" t="s">
        <v>573</v>
      </c>
      <c r="J245" s="70">
        <v>2020</v>
      </c>
      <c r="K245" s="66" t="s">
        <v>28</v>
      </c>
      <c r="L245" s="41">
        <v>3</v>
      </c>
      <c r="M245" s="41"/>
      <c r="N245" s="47">
        <v>500</v>
      </c>
      <c r="O245" s="43">
        <f t="shared" si="70"/>
        <v>8.6666666666666856</v>
      </c>
      <c r="P245" s="47">
        <v>318</v>
      </c>
      <c r="Q245" s="47">
        <v>302</v>
      </c>
      <c r="R245" s="47">
        <v>308</v>
      </c>
      <c r="S245" s="48">
        <f t="shared" si="81"/>
        <v>720</v>
      </c>
      <c r="T245" s="43">
        <f t="shared" si="82"/>
        <v>309.33333333333331</v>
      </c>
      <c r="U245" s="44">
        <f t="shared" si="73"/>
        <v>43</v>
      </c>
      <c r="V245" s="45">
        <v>380</v>
      </c>
      <c r="W245" s="45">
        <v>1700</v>
      </c>
      <c r="X245" s="45" t="s">
        <v>41</v>
      </c>
      <c r="Y245" s="45" t="s">
        <v>42</v>
      </c>
      <c r="Z245" s="1">
        <f t="shared" si="74"/>
        <v>-11</v>
      </c>
      <c r="AA245" s="1">
        <f t="shared" si="69"/>
        <v>-8.6602540378444246</v>
      </c>
    </row>
    <row r="246" spans="1:27" s="49" customFormat="1" ht="16.5" customHeight="1" thickBot="1" x14ac:dyDescent="0.25">
      <c r="A246" s="84">
        <v>244</v>
      </c>
      <c r="B246" s="52" t="s">
        <v>35</v>
      </c>
      <c r="C246" s="41" t="s">
        <v>36</v>
      </c>
      <c r="D246" s="41" t="s">
        <v>37</v>
      </c>
      <c r="E246" s="41" t="s">
        <v>116</v>
      </c>
      <c r="F246" s="45" t="s">
        <v>220</v>
      </c>
      <c r="G246" s="42" t="s">
        <v>461</v>
      </c>
      <c r="H246" s="46" t="s">
        <v>26</v>
      </c>
      <c r="I246" s="62"/>
      <c r="J246" s="70"/>
      <c r="K246" s="66" t="s">
        <v>28</v>
      </c>
      <c r="L246" s="41">
        <v>3</v>
      </c>
      <c r="M246" s="41"/>
      <c r="N246" s="47">
        <v>160</v>
      </c>
      <c r="O246" s="43">
        <f t="shared" si="70"/>
        <v>6.6666666666666714</v>
      </c>
      <c r="P246" s="47">
        <v>105</v>
      </c>
      <c r="Q246" s="47">
        <v>113</v>
      </c>
      <c r="R246" s="47">
        <v>101</v>
      </c>
      <c r="S246" s="48">
        <f t="shared" si="81"/>
        <v>230.39999999999998</v>
      </c>
      <c r="T246" s="43">
        <f t="shared" si="82"/>
        <v>106.33333333333333</v>
      </c>
      <c r="U246" s="44">
        <f t="shared" si="73"/>
        <v>46</v>
      </c>
      <c r="V246" s="45">
        <v>380</v>
      </c>
      <c r="W246" s="45">
        <v>1700</v>
      </c>
      <c r="X246" s="45" t="s">
        <v>41</v>
      </c>
      <c r="Y246" s="45" t="s">
        <v>42</v>
      </c>
      <c r="Z246" s="1">
        <f t="shared" si="74"/>
        <v>10</v>
      </c>
      <c r="AA246" s="1">
        <f t="shared" si="69"/>
        <v>-3.4641016151377499</v>
      </c>
    </row>
    <row r="247" spans="1:27" s="49" customFormat="1" ht="16.5" customHeight="1" thickBot="1" x14ac:dyDescent="0.3">
      <c r="A247" s="84">
        <v>245</v>
      </c>
      <c r="B247" s="52" t="s">
        <v>35</v>
      </c>
      <c r="C247" s="41" t="s">
        <v>36</v>
      </c>
      <c r="D247" s="41" t="s">
        <v>37</v>
      </c>
      <c r="E247" s="41" t="s">
        <v>116</v>
      </c>
      <c r="F247" s="45" t="s">
        <v>220</v>
      </c>
      <c r="G247" s="42" t="s">
        <v>226</v>
      </c>
      <c r="H247" s="46" t="s">
        <v>23</v>
      </c>
      <c r="I247" s="62"/>
      <c r="J247" s="70"/>
      <c r="K247" s="66" t="s">
        <v>28</v>
      </c>
      <c r="L247" s="41">
        <v>3</v>
      </c>
      <c r="M247" s="41">
        <v>1</v>
      </c>
      <c r="N247" s="47">
        <v>300</v>
      </c>
      <c r="O247" s="43">
        <f t="shared" si="70"/>
        <v>6.6666666666666572</v>
      </c>
      <c r="P247" s="57">
        <v>129</v>
      </c>
      <c r="Q247" s="57">
        <v>133</v>
      </c>
      <c r="R247" s="57">
        <v>141</v>
      </c>
      <c r="S247" s="48">
        <f t="shared" si="81"/>
        <v>432</v>
      </c>
      <c r="T247" s="43">
        <f t="shared" ref="T247:T263" si="83">(R247+Q247+P247)/3</f>
        <v>134.33333333333334</v>
      </c>
      <c r="U247" s="44">
        <f t="shared" si="73"/>
        <v>31</v>
      </c>
      <c r="V247" s="45">
        <v>381</v>
      </c>
      <c r="W247" s="45">
        <v>1700</v>
      </c>
      <c r="X247" s="45" t="s">
        <v>41</v>
      </c>
      <c r="Y247" s="45" t="s">
        <v>42</v>
      </c>
      <c r="Z247" s="1">
        <f t="shared" si="74"/>
        <v>-2</v>
      </c>
      <c r="AA247" s="1">
        <f t="shared" si="69"/>
        <v>10.392304845413264</v>
      </c>
    </row>
    <row r="248" spans="1:27" s="49" customFormat="1" ht="16.5" customHeight="1" thickBot="1" x14ac:dyDescent="0.3">
      <c r="A248" s="98"/>
      <c r="B248" s="102" t="s">
        <v>35</v>
      </c>
      <c r="C248" s="103" t="s">
        <v>36</v>
      </c>
      <c r="D248" s="103" t="s">
        <v>37</v>
      </c>
      <c r="E248" s="103" t="s">
        <v>116</v>
      </c>
      <c r="F248" s="104" t="s">
        <v>605</v>
      </c>
      <c r="G248" s="99" t="s">
        <v>604</v>
      </c>
      <c r="H248" s="115" t="s">
        <v>23</v>
      </c>
      <c r="I248" s="107"/>
      <c r="J248" s="108"/>
      <c r="K248" s="116" t="s">
        <v>28</v>
      </c>
      <c r="L248" s="103">
        <v>3</v>
      </c>
      <c r="M248" s="103"/>
      <c r="N248" s="117">
        <v>1000</v>
      </c>
      <c r="O248" s="118">
        <f t="shared" si="70"/>
        <v>4.6666666666666856</v>
      </c>
      <c r="P248" s="119">
        <v>449</v>
      </c>
      <c r="Q248" s="119">
        <v>438</v>
      </c>
      <c r="R248" s="119">
        <v>446</v>
      </c>
      <c r="S248" s="120">
        <f t="shared" si="81"/>
        <v>1440</v>
      </c>
      <c r="T248" s="118">
        <f t="shared" si="83"/>
        <v>444.33333333333331</v>
      </c>
      <c r="U248" s="100">
        <f t="shared" si="73"/>
        <v>31</v>
      </c>
      <c r="V248" s="104">
        <v>381</v>
      </c>
      <c r="W248" s="104">
        <v>1599</v>
      </c>
      <c r="X248" s="104" t="s">
        <v>41</v>
      </c>
      <c r="Y248" s="104" t="s">
        <v>42</v>
      </c>
      <c r="Z248" s="1"/>
      <c r="AA248" s="1"/>
    </row>
    <row r="249" spans="1:27" s="49" customFormat="1" ht="16.5" customHeight="1" thickBot="1" x14ac:dyDescent="0.3">
      <c r="A249" s="98"/>
      <c r="B249" s="102" t="s">
        <v>35</v>
      </c>
      <c r="C249" s="103" t="s">
        <v>36</v>
      </c>
      <c r="D249" s="103" t="s">
        <v>37</v>
      </c>
      <c r="E249" s="103" t="s">
        <v>116</v>
      </c>
      <c r="F249" s="104" t="s">
        <v>606</v>
      </c>
      <c r="G249" s="99" t="s">
        <v>607</v>
      </c>
      <c r="H249" s="115" t="s">
        <v>23</v>
      </c>
      <c r="I249" s="107"/>
      <c r="J249" s="108"/>
      <c r="K249" s="116" t="s">
        <v>28</v>
      </c>
      <c r="L249" s="103">
        <v>3</v>
      </c>
      <c r="M249" s="103"/>
      <c r="N249" s="117">
        <v>1000</v>
      </c>
      <c r="O249" s="118">
        <f t="shared" si="70"/>
        <v>4.6666666666666856</v>
      </c>
      <c r="P249" s="119">
        <v>458</v>
      </c>
      <c r="Q249" s="119">
        <v>447</v>
      </c>
      <c r="R249" s="119">
        <v>455</v>
      </c>
      <c r="S249" s="120">
        <f t="shared" si="81"/>
        <v>1440</v>
      </c>
      <c r="T249" s="118">
        <f t="shared" si="83"/>
        <v>453.33333333333331</v>
      </c>
      <c r="U249" s="100">
        <f t="shared" si="73"/>
        <v>31</v>
      </c>
      <c r="V249" s="104">
        <v>381</v>
      </c>
      <c r="W249" s="104">
        <v>1599</v>
      </c>
      <c r="X249" s="104" t="s">
        <v>41</v>
      </c>
      <c r="Y249" s="104" t="s">
        <v>42</v>
      </c>
      <c r="Z249" s="1"/>
      <c r="AA249" s="1"/>
    </row>
    <row r="250" spans="1:27" s="49" customFormat="1" ht="16.5" customHeight="1" thickBot="1" x14ac:dyDescent="0.3">
      <c r="A250" s="98"/>
      <c r="B250" s="102" t="s">
        <v>35</v>
      </c>
      <c r="C250" s="103" t="s">
        <v>36</v>
      </c>
      <c r="D250" s="103" t="s">
        <v>37</v>
      </c>
      <c r="E250" s="103" t="s">
        <v>116</v>
      </c>
      <c r="F250" s="104" t="s">
        <v>605</v>
      </c>
      <c r="G250" s="99" t="s">
        <v>608</v>
      </c>
      <c r="H250" s="115" t="s">
        <v>23</v>
      </c>
      <c r="I250" s="107"/>
      <c r="J250" s="108"/>
      <c r="K250" s="116" t="s">
        <v>28</v>
      </c>
      <c r="L250" s="103">
        <v>3</v>
      </c>
      <c r="M250" s="103"/>
      <c r="N250" s="117">
        <v>1000</v>
      </c>
      <c r="O250" s="118">
        <f t="shared" si="70"/>
        <v>5.6666666666666856</v>
      </c>
      <c r="P250" s="119">
        <v>446</v>
      </c>
      <c r="Q250" s="119">
        <v>454</v>
      </c>
      <c r="R250" s="119">
        <v>445</v>
      </c>
      <c r="S250" s="120">
        <f t="shared" si="81"/>
        <v>1440</v>
      </c>
      <c r="T250" s="118">
        <f t="shared" si="83"/>
        <v>448.33333333333331</v>
      </c>
      <c r="U250" s="100">
        <f t="shared" si="73"/>
        <v>31</v>
      </c>
      <c r="V250" s="104">
        <v>381</v>
      </c>
      <c r="W250" s="104">
        <v>1599</v>
      </c>
      <c r="X250" s="104" t="s">
        <v>41</v>
      </c>
      <c r="Y250" s="104" t="s">
        <v>42</v>
      </c>
      <c r="Z250" s="1"/>
      <c r="AA250" s="1"/>
    </row>
    <row r="251" spans="1:27" s="49" customFormat="1" ht="16.5" customHeight="1" thickBot="1" x14ac:dyDescent="0.3">
      <c r="A251" s="98"/>
      <c r="B251" s="102" t="s">
        <v>35</v>
      </c>
      <c r="C251" s="103" t="s">
        <v>36</v>
      </c>
      <c r="D251" s="103" t="s">
        <v>37</v>
      </c>
      <c r="E251" s="103" t="s">
        <v>116</v>
      </c>
      <c r="F251" s="104" t="s">
        <v>605</v>
      </c>
      <c r="G251" s="99" t="s">
        <v>609</v>
      </c>
      <c r="H251" s="115" t="s">
        <v>23</v>
      </c>
      <c r="I251" s="107"/>
      <c r="J251" s="108"/>
      <c r="K251" s="116" t="s">
        <v>28</v>
      </c>
      <c r="L251" s="103">
        <v>3</v>
      </c>
      <c r="M251" s="103"/>
      <c r="N251" s="117">
        <v>1000</v>
      </c>
      <c r="O251" s="118">
        <f t="shared" si="70"/>
        <v>4.3333333333333144</v>
      </c>
      <c r="P251" s="119">
        <v>462</v>
      </c>
      <c r="Q251" s="119">
        <v>451</v>
      </c>
      <c r="R251" s="119">
        <v>460</v>
      </c>
      <c r="S251" s="120">
        <f t="shared" si="81"/>
        <v>1440</v>
      </c>
      <c r="T251" s="118">
        <f t="shared" si="83"/>
        <v>457.66666666666669</v>
      </c>
      <c r="U251" s="100">
        <f t="shared" si="73"/>
        <v>32</v>
      </c>
      <c r="V251" s="104">
        <v>381</v>
      </c>
      <c r="W251" s="104">
        <v>1599</v>
      </c>
      <c r="X251" s="104" t="s">
        <v>41</v>
      </c>
      <c r="Y251" s="104" t="s">
        <v>42</v>
      </c>
      <c r="Z251" s="1"/>
      <c r="AA251" s="1"/>
    </row>
    <row r="252" spans="1:27" s="49" customFormat="1" ht="16.5" customHeight="1" thickBot="1" x14ac:dyDescent="0.3">
      <c r="A252" s="98"/>
      <c r="B252" s="102" t="s">
        <v>35</v>
      </c>
      <c r="C252" s="103" t="s">
        <v>36</v>
      </c>
      <c r="D252" s="103" t="s">
        <v>37</v>
      </c>
      <c r="E252" s="103" t="s">
        <v>116</v>
      </c>
      <c r="F252" s="104" t="s">
        <v>605</v>
      </c>
      <c r="G252" s="99" t="s">
        <v>610</v>
      </c>
      <c r="H252" s="115" t="s">
        <v>23</v>
      </c>
      <c r="I252" s="107"/>
      <c r="J252" s="108"/>
      <c r="K252" s="116" t="s">
        <v>28</v>
      </c>
      <c r="L252" s="103">
        <v>3</v>
      </c>
      <c r="M252" s="103"/>
      <c r="N252" s="117">
        <v>1000</v>
      </c>
      <c r="O252" s="118">
        <f t="shared" si="70"/>
        <v>4.3333333333333144</v>
      </c>
      <c r="P252" s="119">
        <v>442</v>
      </c>
      <c r="Q252" s="119">
        <v>439</v>
      </c>
      <c r="R252" s="119">
        <v>447</v>
      </c>
      <c r="S252" s="120">
        <f t="shared" si="81"/>
        <v>1440</v>
      </c>
      <c r="T252" s="118">
        <f t="shared" si="83"/>
        <v>442.66666666666669</v>
      </c>
      <c r="U252" s="100">
        <f t="shared" si="73"/>
        <v>31</v>
      </c>
      <c r="V252" s="104">
        <v>381</v>
      </c>
      <c r="W252" s="104">
        <v>1599</v>
      </c>
      <c r="X252" s="104" t="s">
        <v>41</v>
      </c>
      <c r="Y252" s="104" t="s">
        <v>42</v>
      </c>
      <c r="Z252" s="1"/>
      <c r="AA252" s="1"/>
    </row>
    <row r="253" spans="1:27" s="49" customFormat="1" ht="16.5" customHeight="1" thickBot="1" x14ac:dyDescent="0.3">
      <c r="A253" s="84">
        <v>246</v>
      </c>
      <c r="B253" s="52" t="s">
        <v>35</v>
      </c>
      <c r="C253" s="41" t="s">
        <v>36</v>
      </c>
      <c r="D253" s="41" t="s">
        <v>37</v>
      </c>
      <c r="E253" s="41" t="s">
        <v>227</v>
      </c>
      <c r="F253" s="45" t="s">
        <v>228</v>
      </c>
      <c r="G253" s="42" t="s">
        <v>229</v>
      </c>
      <c r="H253" s="46" t="s">
        <v>23</v>
      </c>
      <c r="I253" s="62"/>
      <c r="J253" s="70"/>
      <c r="K253" s="66" t="s">
        <v>28</v>
      </c>
      <c r="L253" s="41">
        <v>3</v>
      </c>
      <c r="M253" s="41">
        <v>2</v>
      </c>
      <c r="N253" s="47">
        <v>1000</v>
      </c>
      <c r="O253" s="43">
        <f t="shared" si="70"/>
        <v>7</v>
      </c>
      <c r="P253" s="57">
        <v>468</v>
      </c>
      <c r="Q253" s="57">
        <v>462</v>
      </c>
      <c r="R253" s="57">
        <v>453</v>
      </c>
      <c r="S253" s="48">
        <f t="shared" si="81"/>
        <v>1440</v>
      </c>
      <c r="T253" s="43">
        <f t="shared" si="83"/>
        <v>461</v>
      </c>
      <c r="U253" s="44">
        <f t="shared" si="73"/>
        <v>32</v>
      </c>
      <c r="V253" s="45">
        <v>382</v>
      </c>
      <c r="W253" s="45">
        <v>2840</v>
      </c>
      <c r="X253" s="45" t="s">
        <v>41</v>
      </c>
      <c r="Y253" s="45" t="s">
        <v>42</v>
      </c>
      <c r="Z253" s="1">
        <f t="shared" si="74"/>
        <v>1.5</v>
      </c>
      <c r="AA253" s="1">
        <f t="shared" si="69"/>
        <v>-12.99038105676658</v>
      </c>
    </row>
    <row r="254" spans="1:27" s="49" customFormat="1" ht="16.5" customHeight="1" thickBot="1" x14ac:dyDescent="0.3">
      <c r="A254" s="98">
        <v>247</v>
      </c>
      <c r="B254" s="102" t="s">
        <v>35</v>
      </c>
      <c r="C254" s="103" t="s">
        <v>36</v>
      </c>
      <c r="D254" s="103" t="s">
        <v>37</v>
      </c>
      <c r="E254" s="103" t="s">
        <v>227</v>
      </c>
      <c r="F254" s="104" t="s">
        <v>228</v>
      </c>
      <c r="G254" s="99" t="s">
        <v>230</v>
      </c>
      <c r="H254" s="115" t="s">
        <v>23</v>
      </c>
      <c r="I254" s="121"/>
      <c r="J254" s="122"/>
      <c r="K254" s="116" t="s">
        <v>25</v>
      </c>
      <c r="L254" s="103">
        <v>3</v>
      </c>
      <c r="M254" s="103">
        <v>4</v>
      </c>
      <c r="N254" s="117">
        <v>1000</v>
      </c>
      <c r="O254" s="118">
        <f t="shared" si="70"/>
        <v>6.6666666666666856</v>
      </c>
      <c r="P254" s="119">
        <v>469</v>
      </c>
      <c r="Q254" s="119">
        <v>480</v>
      </c>
      <c r="R254" s="119">
        <v>471</v>
      </c>
      <c r="S254" s="120">
        <f t="shared" si="81"/>
        <v>1440</v>
      </c>
      <c r="T254" s="118">
        <f t="shared" si="83"/>
        <v>473.33333333333331</v>
      </c>
      <c r="U254" s="100">
        <f t="shared" si="73"/>
        <v>33</v>
      </c>
      <c r="V254" s="104">
        <v>381</v>
      </c>
      <c r="W254" s="104">
        <v>2840</v>
      </c>
      <c r="X254" s="104" t="s">
        <v>41</v>
      </c>
      <c r="Y254" s="104" t="s">
        <v>42</v>
      </c>
      <c r="Z254" s="1">
        <f t="shared" si="74"/>
        <v>10</v>
      </c>
      <c r="AA254" s="1">
        <f t="shared" si="69"/>
        <v>1.7320508075688394</v>
      </c>
    </row>
    <row r="255" spans="1:27" s="114" customFormat="1" ht="16.5" customHeight="1" thickBot="1" x14ac:dyDescent="0.3">
      <c r="A255" s="101">
        <v>248</v>
      </c>
      <c r="B255" s="102" t="s">
        <v>35</v>
      </c>
      <c r="C255" s="103" t="s">
        <v>36</v>
      </c>
      <c r="D255" s="103" t="s">
        <v>37</v>
      </c>
      <c r="E255" s="103" t="s">
        <v>227</v>
      </c>
      <c r="F255" s="104" t="s">
        <v>228</v>
      </c>
      <c r="G255" s="105" t="s">
        <v>236</v>
      </c>
      <c r="H255" s="106" t="s">
        <v>23</v>
      </c>
      <c r="I255" s="107"/>
      <c r="J255" s="108"/>
      <c r="K255" s="109" t="s">
        <v>28</v>
      </c>
      <c r="L255" s="103">
        <v>3</v>
      </c>
      <c r="M255" s="103">
        <v>5</v>
      </c>
      <c r="N255" s="103">
        <v>1000</v>
      </c>
      <c r="O255" s="110">
        <f t="shared" si="70"/>
        <v>7</v>
      </c>
      <c r="P255" s="111">
        <v>449</v>
      </c>
      <c r="Q255" s="111">
        <v>458</v>
      </c>
      <c r="R255" s="111">
        <v>446</v>
      </c>
      <c r="S255" s="112">
        <f t="shared" si="81"/>
        <v>1440</v>
      </c>
      <c r="T255" s="110">
        <f t="shared" si="83"/>
        <v>451</v>
      </c>
      <c r="U255" s="113">
        <f t="shared" si="73"/>
        <v>31</v>
      </c>
      <c r="V255" s="104">
        <v>381</v>
      </c>
      <c r="W255" s="104">
        <v>2840</v>
      </c>
      <c r="X255" s="104" t="s">
        <v>41</v>
      </c>
      <c r="Y255" s="104" t="s">
        <v>42</v>
      </c>
      <c r="Z255" s="1">
        <f t="shared" si="74"/>
        <v>10.5</v>
      </c>
      <c r="AA255" s="1">
        <f t="shared" si="69"/>
        <v>-2.598076211353316</v>
      </c>
    </row>
    <row r="256" spans="1:27" s="114" customFormat="1" ht="16.5" customHeight="1" thickBot="1" x14ac:dyDescent="0.3">
      <c r="A256" s="98">
        <v>249</v>
      </c>
      <c r="B256" s="102" t="s">
        <v>35</v>
      </c>
      <c r="C256" s="103" t="s">
        <v>36</v>
      </c>
      <c r="D256" s="103" t="s">
        <v>37</v>
      </c>
      <c r="E256" s="103" t="s">
        <v>227</v>
      </c>
      <c r="F256" s="104" t="s">
        <v>228</v>
      </c>
      <c r="G256" s="99" t="s">
        <v>231</v>
      </c>
      <c r="H256" s="115" t="s">
        <v>23</v>
      </c>
      <c r="I256" s="107"/>
      <c r="J256" s="108"/>
      <c r="K256" s="116" t="s">
        <v>28</v>
      </c>
      <c r="L256" s="103">
        <v>3</v>
      </c>
      <c r="M256" s="103">
        <v>3</v>
      </c>
      <c r="N256" s="117">
        <v>800</v>
      </c>
      <c r="O256" s="118">
        <f t="shared" si="70"/>
        <v>5.6666666666666856</v>
      </c>
      <c r="P256" s="119">
        <v>376</v>
      </c>
      <c r="Q256" s="119">
        <v>361</v>
      </c>
      <c r="R256" s="119">
        <v>374</v>
      </c>
      <c r="S256" s="120">
        <f t="shared" si="81"/>
        <v>1152</v>
      </c>
      <c r="T256" s="118">
        <f t="shared" si="83"/>
        <v>370.33333333333331</v>
      </c>
      <c r="U256" s="100">
        <f t="shared" si="73"/>
        <v>32</v>
      </c>
      <c r="V256" s="104">
        <v>380</v>
      </c>
      <c r="W256" s="104">
        <v>2840</v>
      </c>
      <c r="X256" s="104" t="s">
        <v>41</v>
      </c>
      <c r="Y256" s="104" t="s">
        <v>42</v>
      </c>
      <c r="Z256" s="1">
        <f t="shared" si="74"/>
        <v>-14</v>
      </c>
      <c r="AA256" s="1">
        <f t="shared" si="69"/>
        <v>-1.7320508075688963</v>
      </c>
    </row>
    <row r="257" spans="1:27" s="114" customFormat="1" ht="16.5" customHeight="1" thickBot="1" x14ac:dyDescent="0.3">
      <c r="A257" s="98">
        <v>250</v>
      </c>
      <c r="B257" s="102" t="s">
        <v>35</v>
      </c>
      <c r="C257" s="103" t="s">
        <v>36</v>
      </c>
      <c r="D257" s="103" t="s">
        <v>37</v>
      </c>
      <c r="E257" s="103" t="s">
        <v>227</v>
      </c>
      <c r="F257" s="104" t="s">
        <v>228</v>
      </c>
      <c r="G257" s="99" t="s">
        <v>232</v>
      </c>
      <c r="H257" s="115" t="s">
        <v>23</v>
      </c>
      <c r="I257" s="107"/>
      <c r="J257" s="108"/>
      <c r="K257" s="116" t="s">
        <v>28</v>
      </c>
      <c r="L257" s="103">
        <v>3</v>
      </c>
      <c r="M257" s="103">
        <v>3</v>
      </c>
      <c r="N257" s="117">
        <v>800</v>
      </c>
      <c r="O257" s="118">
        <f t="shared" si="70"/>
        <v>6</v>
      </c>
      <c r="P257" s="119">
        <v>383</v>
      </c>
      <c r="Q257" s="119">
        <v>375</v>
      </c>
      <c r="R257" s="119">
        <v>388</v>
      </c>
      <c r="S257" s="120">
        <f t="shared" si="81"/>
        <v>1152</v>
      </c>
      <c r="T257" s="118">
        <f t="shared" si="83"/>
        <v>382</v>
      </c>
      <c r="U257" s="100">
        <f t="shared" si="73"/>
        <v>33</v>
      </c>
      <c r="V257" s="104">
        <v>381</v>
      </c>
      <c r="W257" s="104">
        <v>2840</v>
      </c>
      <c r="X257" s="104" t="s">
        <v>41</v>
      </c>
      <c r="Y257" s="104" t="s">
        <v>42</v>
      </c>
      <c r="Z257" s="1">
        <f t="shared" si="74"/>
        <v>-10.5</v>
      </c>
      <c r="AA257" s="1">
        <f t="shared" si="69"/>
        <v>4.3301270189222123</v>
      </c>
    </row>
    <row r="258" spans="1:27" s="114" customFormat="1" ht="16.5" customHeight="1" thickBot="1" x14ac:dyDescent="0.3">
      <c r="A258" s="98">
        <v>251</v>
      </c>
      <c r="B258" s="102" t="s">
        <v>35</v>
      </c>
      <c r="C258" s="103" t="s">
        <v>36</v>
      </c>
      <c r="D258" s="103" t="s">
        <v>37</v>
      </c>
      <c r="E258" s="103" t="s">
        <v>227</v>
      </c>
      <c r="F258" s="104" t="s">
        <v>228</v>
      </c>
      <c r="G258" s="99" t="s">
        <v>233</v>
      </c>
      <c r="H258" s="115" t="s">
        <v>23</v>
      </c>
      <c r="I258" s="107"/>
      <c r="J258" s="108"/>
      <c r="K258" s="116" t="s">
        <v>28</v>
      </c>
      <c r="L258" s="103">
        <v>3</v>
      </c>
      <c r="M258" s="103">
        <v>3</v>
      </c>
      <c r="N258" s="117">
        <v>800</v>
      </c>
      <c r="O258" s="118">
        <f t="shared" si="70"/>
        <v>5.3333333333333144</v>
      </c>
      <c r="P258" s="119">
        <v>356</v>
      </c>
      <c r="Q258" s="119">
        <v>350</v>
      </c>
      <c r="R258" s="119">
        <v>361</v>
      </c>
      <c r="S258" s="120">
        <f t="shared" si="81"/>
        <v>1152</v>
      </c>
      <c r="T258" s="118">
        <f t="shared" si="83"/>
        <v>355.66666666666669</v>
      </c>
      <c r="U258" s="100">
        <f t="shared" si="73"/>
        <v>31</v>
      </c>
      <c r="V258" s="104">
        <v>381</v>
      </c>
      <c r="W258" s="104">
        <v>2840</v>
      </c>
      <c r="X258" s="104" t="s">
        <v>41</v>
      </c>
      <c r="Y258" s="104" t="s">
        <v>42</v>
      </c>
      <c r="Z258" s="1">
        <f t="shared" si="74"/>
        <v>-8.5</v>
      </c>
      <c r="AA258" s="1">
        <f t="shared" si="69"/>
        <v>4.3301270189222123</v>
      </c>
    </row>
    <row r="259" spans="1:27" s="114" customFormat="1" ht="16.5" customHeight="1" thickBot="1" x14ac:dyDescent="0.3">
      <c r="A259" s="98">
        <v>252</v>
      </c>
      <c r="B259" s="102" t="s">
        <v>35</v>
      </c>
      <c r="C259" s="103" t="s">
        <v>36</v>
      </c>
      <c r="D259" s="103" t="s">
        <v>37</v>
      </c>
      <c r="E259" s="103" t="s">
        <v>227</v>
      </c>
      <c r="F259" s="104" t="s">
        <v>228</v>
      </c>
      <c r="G259" s="99" t="s">
        <v>234</v>
      </c>
      <c r="H259" s="115" t="s">
        <v>23</v>
      </c>
      <c r="I259" s="107"/>
      <c r="J259" s="108"/>
      <c r="K259" s="116" t="s">
        <v>28</v>
      </c>
      <c r="L259" s="103">
        <v>3</v>
      </c>
      <c r="M259" s="103">
        <v>2</v>
      </c>
      <c r="N259" s="117">
        <v>800</v>
      </c>
      <c r="O259" s="118">
        <f t="shared" si="70"/>
        <v>6.3333333333333144</v>
      </c>
      <c r="P259" s="119">
        <v>362</v>
      </c>
      <c r="Q259" s="119">
        <v>378</v>
      </c>
      <c r="R259" s="119">
        <v>375</v>
      </c>
      <c r="S259" s="120">
        <f t="shared" si="81"/>
        <v>1152</v>
      </c>
      <c r="T259" s="118">
        <f t="shared" si="83"/>
        <v>371.66666666666669</v>
      </c>
      <c r="U259" s="100">
        <f t="shared" si="73"/>
        <v>32</v>
      </c>
      <c r="V259" s="104">
        <v>382</v>
      </c>
      <c r="W259" s="104">
        <v>2840</v>
      </c>
      <c r="X259" s="104" t="s">
        <v>41</v>
      </c>
      <c r="Y259" s="104" t="s">
        <v>42</v>
      </c>
      <c r="Z259" s="1">
        <f t="shared" si="74"/>
        <v>9.5</v>
      </c>
      <c r="AA259" s="1">
        <f t="shared" si="69"/>
        <v>11.258330249197741</v>
      </c>
    </row>
    <row r="260" spans="1:27" s="49" customFormat="1" ht="16.5" customHeight="1" thickBot="1" x14ac:dyDescent="0.25">
      <c r="A260" s="84">
        <v>253</v>
      </c>
      <c r="B260" s="52" t="s">
        <v>35</v>
      </c>
      <c r="C260" s="41" t="s">
        <v>36</v>
      </c>
      <c r="D260" s="41" t="s">
        <v>37</v>
      </c>
      <c r="E260" s="41" t="s">
        <v>227</v>
      </c>
      <c r="F260" s="45" t="s">
        <v>228</v>
      </c>
      <c r="G260" s="42" t="s">
        <v>462</v>
      </c>
      <c r="H260" s="46" t="s">
        <v>26</v>
      </c>
      <c r="I260" s="62"/>
      <c r="J260" s="70"/>
      <c r="K260" s="66" t="s">
        <v>28</v>
      </c>
      <c r="L260" s="41">
        <v>3</v>
      </c>
      <c r="M260" s="41"/>
      <c r="N260" s="47">
        <v>500</v>
      </c>
      <c r="O260" s="43">
        <f t="shared" si="70"/>
        <v>7.3333333333333144</v>
      </c>
      <c r="P260" s="47">
        <v>310</v>
      </c>
      <c r="Q260" s="47">
        <v>298</v>
      </c>
      <c r="R260" s="47">
        <v>300</v>
      </c>
      <c r="S260" s="48">
        <f t="shared" si="81"/>
        <v>720</v>
      </c>
      <c r="T260" s="43">
        <f t="shared" si="83"/>
        <v>302.66666666666669</v>
      </c>
      <c r="U260" s="44">
        <f t="shared" si="73"/>
        <v>42</v>
      </c>
      <c r="V260" s="45">
        <v>382</v>
      </c>
      <c r="W260" s="45">
        <v>2840</v>
      </c>
      <c r="X260" s="45" t="s">
        <v>41</v>
      </c>
      <c r="Y260" s="45" t="s">
        <v>42</v>
      </c>
      <c r="Z260" s="1">
        <f t="shared" si="74"/>
        <v>-7</v>
      </c>
      <c r="AA260" s="1">
        <f t="shared" si="69"/>
        <v>-8.6602540378443678</v>
      </c>
    </row>
    <row r="261" spans="1:27" s="49" customFormat="1" ht="16.5" customHeight="1" thickBot="1" x14ac:dyDescent="0.25">
      <c r="A261" s="84">
        <v>254</v>
      </c>
      <c r="B261" s="52" t="s">
        <v>35</v>
      </c>
      <c r="C261" s="41" t="s">
        <v>36</v>
      </c>
      <c r="D261" s="41" t="s">
        <v>37</v>
      </c>
      <c r="E261" s="41" t="s">
        <v>227</v>
      </c>
      <c r="F261" s="45" t="s">
        <v>228</v>
      </c>
      <c r="G261" s="42" t="s">
        <v>463</v>
      </c>
      <c r="H261" s="46" t="s">
        <v>26</v>
      </c>
      <c r="I261" s="62"/>
      <c r="J261" s="70"/>
      <c r="K261" s="66" t="s">
        <v>28</v>
      </c>
      <c r="L261" s="41">
        <v>3</v>
      </c>
      <c r="M261" s="41"/>
      <c r="N261" s="47">
        <v>500</v>
      </c>
      <c r="O261" s="146" t="s">
        <v>548</v>
      </c>
      <c r="P261" s="147"/>
      <c r="Q261" s="147"/>
      <c r="R261" s="148"/>
      <c r="S261" s="48">
        <f t="shared" si="81"/>
        <v>720</v>
      </c>
      <c r="T261" s="43">
        <f t="shared" si="83"/>
        <v>0</v>
      </c>
      <c r="U261" s="44" t="e">
        <f t="shared" si="73"/>
        <v>#DIV/0!</v>
      </c>
      <c r="V261" s="45">
        <v>382</v>
      </c>
      <c r="W261" s="45">
        <v>2840</v>
      </c>
      <c r="X261" s="45" t="s">
        <v>41</v>
      </c>
      <c r="Y261" s="45" t="s">
        <v>42</v>
      </c>
      <c r="Z261" s="1">
        <f t="shared" si="74"/>
        <v>0</v>
      </c>
      <c r="AA261" s="1">
        <f t="shared" si="69"/>
        <v>0</v>
      </c>
    </row>
    <row r="262" spans="1:27" s="49" customFormat="1" ht="16.5" customHeight="1" thickBot="1" x14ac:dyDescent="0.25">
      <c r="A262" s="84">
        <v>255</v>
      </c>
      <c r="B262" s="52" t="s">
        <v>35</v>
      </c>
      <c r="C262" s="41" t="s">
        <v>36</v>
      </c>
      <c r="D262" s="41" t="s">
        <v>37</v>
      </c>
      <c r="E262" s="41" t="s">
        <v>227</v>
      </c>
      <c r="F262" s="45" t="s">
        <v>228</v>
      </c>
      <c r="G262" s="42" t="s">
        <v>464</v>
      </c>
      <c r="H262" s="46" t="s">
        <v>26</v>
      </c>
      <c r="I262" s="63"/>
      <c r="J262" s="71"/>
      <c r="K262" s="66" t="s">
        <v>25</v>
      </c>
      <c r="L262" s="41">
        <v>3</v>
      </c>
      <c r="M262" s="41"/>
      <c r="N262" s="47">
        <v>500</v>
      </c>
      <c r="O262" s="43">
        <f>MAX(P262:R262)-AVERAGE(P262:R262)</f>
        <v>7</v>
      </c>
      <c r="P262" s="47">
        <v>310</v>
      </c>
      <c r="Q262" s="47">
        <v>304</v>
      </c>
      <c r="R262" s="47">
        <v>295</v>
      </c>
      <c r="S262" s="48">
        <f t="shared" si="81"/>
        <v>720</v>
      </c>
      <c r="T262" s="43">
        <f t="shared" si="83"/>
        <v>303</v>
      </c>
      <c r="U262" s="44">
        <f t="shared" si="73"/>
        <v>42</v>
      </c>
      <c r="V262" s="45">
        <v>382</v>
      </c>
      <c r="W262" s="45">
        <v>2840</v>
      </c>
      <c r="X262" s="45" t="s">
        <v>41</v>
      </c>
      <c r="Y262" s="45" t="s">
        <v>42</v>
      </c>
      <c r="Z262" s="1">
        <f t="shared" si="74"/>
        <v>1.5</v>
      </c>
      <c r="AA262" s="1">
        <f t="shared" ref="AA262:AA321" si="84">SQRT(3)/2*R262-SQRT(3)/2*P262</f>
        <v>-12.99038105676658</v>
      </c>
    </row>
    <row r="263" spans="1:27" s="49" customFormat="1" ht="16.5" customHeight="1" thickBot="1" x14ac:dyDescent="0.25">
      <c r="A263" s="84">
        <v>256</v>
      </c>
      <c r="B263" s="52" t="s">
        <v>35</v>
      </c>
      <c r="C263" s="41" t="s">
        <v>36</v>
      </c>
      <c r="D263" s="41" t="s">
        <v>37</v>
      </c>
      <c r="E263" s="41" t="s">
        <v>227</v>
      </c>
      <c r="F263" s="45" t="s">
        <v>228</v>
      </c>
      <c r="G263" s="42" t="s">
        <v>560</v>
      </c>
      <c r="H263" s="46" t="s">
        <v>26</v>
      </c>
      <c r="I263" s="63"/>
      <c r="J263" s="71"/>
      <c r="K263" s="66" t="s">
        <v>28</v>
      </c>
      <c r="L263" s="41">
        <v>3</v>
      </c>
      <c r="M263" s="41"/>
      <c r="N263" s="47">
        <v>1500</v>
      </c>
      <c r="O263" s="43">
        <f t="shared" ref="O263:O326" si="85">MAX(P263:R263)-AVERAGE(P263:R263)</f>
        <v>13</v>
      </c>
      <c r="P263" s="47">
        <v>905</v>
      </c>
      <c r="Q263" s="47">
        <v>917</v>
      </c>
      <c r="R263" s="47">
        <v>890</v>
      </c>
      <c r="S263" s="48">
        <f t="shared" si="81"/>
        <v>2160</v>
      </c>
      <c r="T263" s="43">
        <f t="shared" si="83"/>
        <v>904</v>
      </c>
      <c r="U263" s="44">
        <f t="shared" si="73"/>
        <v>42</v>
      </c>
      <c r="V263" s="45">
        <v>382</v>
      </c>
      <c r="W263" s="45">
        <v>2840</v>
      </c>
      <c r="X263" s="45" t="s">
        <v>41</v>
      </c>
      <c r="Y263" s="45" t="s">
        <v>42</v>
      </c>
      <c r="Z263" s="1"/>
      <c r="AA263" s="1"/>
    </row>
    <row r="264" spans="1:27" s="49" customFormat="1" ht="18.600000000000001" customHeight="1" thickBot="1" x14ac:dyDescent="0.3">
      <c r="A264" s="84">
        <v>257</v>
      </c>
      <c r="B264" s="52" t="s">
        <v>35</v>
      </c>
      <c r="C264" s="41" t="s">
        <v>36</v>
      </c>
      <c r="D264" s="41" t="s">
        <v>37</v>
      </c>
      <c r="E264" s="41" t="s">
        <v>227</v>
      </c>
      <c r="F264" s="45" t="s">
        <v>228</v>
      </c>
      <c r="G264" s="42" t="s">
        <v>550</v>
      </c>
      <c r="H264" s="46" t="s">
        <v>23</v>
      </c>
      <c r="I264" s="63"/>
      <c r="J264" s="71"/>
      <c r="K264" s="66" t="s">
        <v>25</v>
      </c>
      <c r="L264" s="41">
        <v>3</v>
      </c>
      <c r="M264" s="41">
        <v>2</v>
      </c>
      <c r="N264" s="47">
        <v>500</v>
      </c>
      <c r="O264" s="43">
        <f t="shared" si="85"/>
        <v>6.3333333333333428</v>
      </c>
      <c r="P264" s="47">
        <v>255</v>
      </c>
      <c r="Q264" s="47">
        <v>260</v>
      </c>
      <c r="R264" s="47">
        <v>246</v>
      </c>
      <c r="S264" s="48">
        <f t="shared" ref="S264:S329" si="86">1.44*N264</f>
        <v>720</v>
      </c>
      <c r="T264" s="43">
        <f t="shared" ref="T264:T268" si="87">(R264+Q264+P264)/3</f>
        <v>253.66666666666666</v>
      </c>
      <c r="U264" s="44">
        <f t="shared" ref="U264:U329" si="88">ROUND(((AVERAGE(P264,R264,Q264))/(N264*1.44))*100,0)</f>
        <v>35</v>
      </c>
      <c r="V264" s="45">
        <v>382</v>
      </c>
      <c r="W264" s="45">
        <v>382</v>
      </c>
      <c r="X264" s="45">
        <v>2840</v>
      </c>
      <c r="Y264" s="45" t="s">
        <v>41</v>
      </c>
      <c r="Z264" s="11" t="s">
        <v>42</v>
      </c>
      <c r="AA264" s="1">
        <f t="shared" si="84"/>
        <v>-7.794228634059948</v>
      </c>
    </row>
    <row r="265" spans="1:27" s="49" customFormat="1" ht="18.600000000000001" customHeight="1" thickBot="1" x14ac:dyDescent="0.3">
      <c r="A265" s="84">
        <v>258</v>
      </c>
      <c r="B265" s="52" t="s">
        <v>35</v>
      </c>
      <c r="C265" s="41" t="s">
        <v>36</v>
      </c>
      <c r="D265" s="41" t="s">
        <v>37</v>
      </c>
      <c r="E265" s="41" t="s">
        <v>227</v>
      </c>
      <c r="F265" s="45" t="s">
        <v>228</v>
      </c>
      <c r="G265" s="42" t="s">
        <v>235</v>
      </c>
      <c r="H265" s="46" t="s">
        <v>23</v>
      </c>
      <c r="I265" s="62"/>
      <c r="J265" s="70"/>
      <c r="K265" s="66" t="s">
        <v>28</v>
      </c>
      <c r="L265" s="41">
        <v>3</v>
      </c>
      <c r="M265" s="41">
        <v>1</v>
      </c>
      <c r="N265" s="47">
        <v>300</v>
      </c>
      <c r="O265" s="43">
        <f t="shared" si="85"/>
        <v>6.6666666666666572</v>
      </c>
      <c r="P265" s="57">
        <v>146</v>
      </c>
      <c r="Q265" s="57">
        <v>130</v>
      </c>
      <c r="R265" s="57">
        <v>142</v>
      </c>
      <c r="S265" s="48">
        <f t="shared" si="86"/>
        <v>432</v>
      </c>
      <c r="T265" s="43">
        <f t="shared" si="87"/>
        <v>139.33333333333334</v>
      </c>
      <c r="U265" s="44">
        <f t="shared" si="88"/>
        <v>32</v>
      </c>
      <c r="V265" s="45">
        <v>381</v>
      </c>
      <c r="W265" s="45">
        <v>2840</v>
      </c>
      <c r="X265" s="45" t="s">
        <v>41</v>
      </c>
      <c r="Y265" s="45" t="s">
        <v>42</v>
      </c>
      <c r="Z265" s="1">
        <f t="shared" si="74"/>
        <v>-14</v>
      </c>
      <c r="AA265" s="1">
        <f t="shared" si="84"/>
        <v>-3.4641016151377499</v>
      </c>
    </row>
    <row r="266" spans="1:27" s="49" customFormat="1" ht="16.5" customHeight="1" thickBot="1" x14ac:dyDescent="0.25">
      <c r="A266" s="84">
        <v>259</v>
      </c>
      <c r="B266" s="52" t="s">
        <v>35</v>
      </c>
      <c r="C266" s="41" t="s">
        <v>36</v>
      </c>
      <c r="D266" s="41" t="s">
        <v>37</v>
      </c>
      <c r="E266" s="41" t="s">
        <v>227</v>
      </c>
      <c r="F266" s="45" t="s">
        <v>237</v>
      </c>
      <c r="G266" s="42" t="s">
        <v>465</v>
      </c>
      <c r="H266" s="46" t="s">
        <v>26</v>
      </c>
      <c r="I266" s="64"/>
      <c r="J266" s="72"/>
      <c r="K266" s="66" t="s">
        <v>28</v>
      </c>
      <c r="L266" s="41">
        <v>3</v>
      </c>
      <c r="M266" s="41"/>
      <c r="N266" s="47">
        <v>1500</v>
      </c>
      <c r="O266" s="43">
        <f t="shared" si="85"/>
        <v>8.3333333333333712</v>
      </c>
      <c r="P266" s="47">
        <v>923</v>
      </c>
      <c r="Q266" s="47">
        <v>930</v>
      </c>
      <c r="R266" s="47">
        <v>912</v>
      </c>
      <c r="S266" s="48">
        <f t="shared" si="86"/>
        <v>2160</v>
      </c>
      <c r="T266" s="43">
        <f t="shared" si="87"/>
        <v>921.66666666666663</v>
      </c>
      <c r="U266" s="44">
        <f t="shared" si="88"/>
        <v>43</v>
      </c>
      <c r="V266" s="45">
        <v>381</v>
      </c>
      <c r="W266" s="45">
        <v>3600</v>
      </c>
      <c r="X266" s="45" t="s">
        <v>56</v>
      </c>
      <c r="Y266" s="45" t="s">
        <v>42</v>
      </c>
      <c r="Z266" s="1">
        <f t="shared" si="74"/>
        <v>12.5</v>
      </c>
      <c r="AA266" s="1">
        <f t="shared" si="84"/>
        <v>-9.5262794416288443</v>
      </c>
    </row>
    <row r="267" spans="1:27" s="49" customFormat="1" ht="16.5" customHeight="1" thickBot="1" x14ac:dyDescent="0.25">
      <c r="A267" s="84">
        <v>260</v>
      </c>
      <c r="B267" s="52" t="s">
        <v>35</v>
      </c>
      <c r="C267" s="41" t="s">
        <v>36</v>
      </c>
      <c r="D267" s="41" t="s">
        <v>37</v>
      </c>
      <c r="E267" s="41" t="s">
        <v>227</v>
      </c>
      <c r="F267" s="45" t="s">
        <v>237</v>
      </c>
      <c r="G267" s="42" t="s">
        <v>466</v>
      </c>
      <c r="H267" s="46" t="s">
        <v>26</v>
      </c>
      <c r="I267" s="65"/>
      <c r="J267" s="73"/>
      <c r="K267" s="66" t="s">
        <v>25</v>
      </c>
      <c r="L267" s="41">
        <v>3</v>
      </c>
      <c r="M267" s="41"/>
      <c r="N267" s="47">
        <v>500</v>
      </c>
      <c r="O267" s="43">
        <f t="shared" si="85"/>
        <v>8</v>
      </c>
      <c r="P267" s="47">
        <v>307</v>
      </c>
      <c r="Q267" s="47">
        <v>299</v>
      </c>
      <c r="R267" s="47">
        <v>315</v>
      </c>
      <c r="S267" s="48">
        <f t="shared" si="86"/>
        <v>720</v>
      </c>
      <c r="T267" s="43">
        <f t="shared" si="87"/>
        <v>307</v>
      </c>
      <c r="U267" s="44">
        <f t="shared" si="88"/>
        <v>43</v>
      </c>
      <c r="V267" s="45">
        <v>381</v>
      </c>
      <c r="W267" s="45">
        <v>3600</v>
      </c>
      <c r="X267" s="45" t="s">
        <v>56</v>
      </c>
      <c r="Y267" s="45" t="s">
        <v>42</v>
      </c>
      <c r="Z267" s="1">
        <f t="shared" si="74"/>
        <v>-12</v>
      </c>
      <c r="AA267" s="1">
        <f t="shared" si="84"/>
        <v>6.9282032302755283</v>
      </c>
    </row>
    <row r="268" spans="1:27" s="49" customFormat="1" ht="16.5" customHeight="1" thickBot="1" x14ac:dyDescent="0.25">
      <c r="A268" s="84">
        <v>261</v>
      </c>
      <c r="B268" s="52" t="s">
        <v>35</v>
      </c>
      <c r="C268" s="41" t="s">
        <v>36</v>
      </c>
      <c r="D268" s="41" t="s">
        <v>37</v>
      </c>
      <c r="E268" s="41" t="s">
        <v>227</v>
      </c>
      <c r="F268" s="45" t="s">
        <v>239</v>
      </c>
      <c r="G268" s="42" t="s">
        <v>468</v>
      </c>
      <c r="H268" s="46" t="s">
        <v>26</v>
      </c>
      <c r="I268" s="62"/>
      <c r="J268" s="70"/>
      <c r="K268" s="66" t="s">
        <v>28</v>
      </c>
      <c r="L268" s="41">
        <v>3</v>
      </c>
      <c r="M268" s="41"/>
      <c r="N268" s="47">
        <v>500</v>
      </c>
      <c r="O268" s="43">
        <f t="shared" si="85"/>
        <v>8</v>
      </c>
      <c r="P268" s="47">
        <v>302</v>
      </c>
      <c r="Q268" s="47">
        <v>315</v>
      </c>
      <c r="R268" s="47">
        <v>304</v>
      </c>
      <c r="S268" s="48">
        <f t="shared" si="86"/>
        <v>720</v>
      </c>
      <c r="T268" s="43">
        <f t="shared" si="87"/>
        <v>307</v>
      </c>
      <c r="U268" s="44">
        <f t="shared" si="88"/>
        <v>43</v>
      </c>
      <c r="V268" s="45">
        <v>381</v>
      </c>
      <c r="W268" s="45">
        <v>3650</v>
      </c>
      <c r="X268" s="45" t="s">
        <v>56</v>
      </c>
      <c r="Y268" s="45" t="s">
        <v>42</v>
      </c>
      <c r="Z268" s="1">
        <f t="shared" ref="Z268:Z334" si="89">Q268-0.5*R268-0.5*P268</f>
        <v>12</v>
      </c>
      <c r="AA268" s="1">
        <f t="shared" si="84"/>
        <v>1.7320508075688963</v>
      </c>
    </row>
    <row r="269" spans="1:27" s="114" customFormat="1" ht="18.600000000000001" customHeight="1" thickBot="1" x14ac:dyDescent="0.3">
      <c r="A269" s="98">
        <v>262</v>
      </c>
      <c r="B269" s="102" t="s">
        <v>35</v>
      </c>
      <c r="C269" s="103" t="s">
        <v>36</v>
      </c>
      <c r="D269" s="103" t="s">
        <v>37</v>
      </c>
      <c r="E269" s="103" t="s">
        <v>227</v>
      </c>
      <c r="F269" s="104" t="s">
        <v>239</v>
      </c>
      <c r="G269" s="99" t="s">
        <v>239</v>
      </c>
      <c r="H269" s="115" t="s">
        <v>23</v>
      </c>
      <c r="I269" s="121"/>
      <c r="J269" s="122"/>
      <c r="K269" s="116" t="s">
        <v>25</v>
      </c>
      <c r="L269" s="103">
        <v>3</v>
      </c>
      <c r="M269" s="103">
        <v>6</v>
      </c>
      <c r="N269" s="117">
        <v>1000</v>
      </c>
      <c r="O269" s="118">
        <f t="shared" si="85"/>
        <v>8</v>
      </c>
      <c r="P269" s="119">
        <v>501</v>
      </c>
      <c r="Q269" s="119">
        <v>510</v>
      </c>
      <c r="R269" s="119">
        <v>495</v>
      </c>
      <c r="S269" s="120">
        <f t="shared" si="86"/>
        <v>1440</v>
      </c>
      <c r="T269" s="118">
        <f t="shared" ref="T269:T272" si="90">(R269+Q269+P269)/3</f>
        <v>502</v>
      </c>
      <c r="U269" s="100">
        <f t="shared" si="88"/>
        <v>35</v>
      </c>
      <c r="V269" s="104">
        <v>381</v>
      </c>
      <c r="W269" s="104">
        <v>3650</v>
      </c>
      <c r="X269" s="104" t="s">
        <v>56</v>
      </c>
      <c r="Y269" s="104" t="s">
        <v>42</v>
      </c>
      <c r="Z269" s="1">
        <f t="shared" si="89"/>
        <v>12</v>
      </c>
      <c r="AA269" s="1">
        <f t="shared" si="84"/>
        <v>-5.196152422706632</v>
      </c>
    </row>
    <row r="270" spans="1:27" s="49" customFormat="1" ht="19.899999999999999" customHeight="1" thickBot="1" x14ac:dyDescent="0.25">
      <c r="A270" s="84">
        <v>263</v>
      </c>
      <c r="B270" s="52" t="s">
        <v>35</v>
      </c>
      <c r="C270" s="41" t="s">
        <v>36</v>
      </c>
      <c r="D270" s="41" t="s">
        <v>37</v>
      </c>
      <c r="E270" s="41" t="s">
        <v>227</v>
      </c>
      <c r="F270" s="45" t="s">
        <v>239</v>
      </c>
      <c r="G270" s="42" t="s">
        <v>240</v>
      </c>
      <c r="H270" s="46" t="s">
        <v>23</v>
      </c>
      <c r="I270" s="63"/>
      <c r="J270" s="71"/>
      <c r="K270" s="66" t="s">
        <v>25</v>
      </c>
      <c r="L270" s="41">
        <v>3</v>
      </c>
      <c r="M270" s="41">
        <v>3</v>
      </c>
      <c r="N270" s="47">
        <v>500</v>
      </c>
      <c r="O270" s="43">
        <f t="shared" si="85"/>
        <v>7</v>
      </c>
      <c r="P270" s="47">
        <v>326</v>
      </c>
      <c r="Q270" s="47">
        <v>309</v>
      </c>
      <c r="R270" s="47">
        <v>322</v>
      </c>
      <c r="S270" s="48">
        <f t="shared" si="86"/>
        <v>720</v>
      </c>
      <c r="T270" s="43">
        <f t="shared" si="90"/>
        <v>319</v>
      </c>
      <c r="U270" s="44">
        <f t="shared" si="88"/>
        <v>44</v>
      </c>
      <c r="V270" s="45">
        <v>380</v>
      </c>
      <c r="W270" s="45">
        <v>3650</v>
      </c>
      <c r="X270" s="45" t="s">
        <v>56</v>
      </c>
      <c r="Y270" s="45" t="s">
        <v>42</v>
      </c>
      <c r="Z270" s="1">
        <f t="shared" si="89"/>
        <v>-15</v>
      </c>
      <c r="AA270" s="1">
        <f t="shared" si="84"/>
        <v>-3.4641016151377357</v>
      </c>
    </row>
    <row r="271" spans="1:27" s="49" customFormat="1" ht="16.5" customHeight="1" thickBot="1" x14ac:dyDescent="0.25">
      <c r="A271" s="84">
        <v>264</v>
      </c>
      <c r="B271" s="52" t="s">
        <v>35</v>
      </c>
      <c r="C271" s="41" t="s">
        <v>36</v>
      </c>
      <c r="D271" s="41" t="s">
        <v>37</v>
      </c>
      <c r="E271" s="41" t="s">
        <v>227</v>
      </c>
      <c r="F271" s="45" t="s">
        <v>241</v>
      </c>
      <c r="G271" s="42" t="s">
        <v>469</v>
      </c>
      <c r="H271" s="46" t="s">
        <v>26</v>
      </c>
      <c r="I271" s="63"/>
      <c r="J271" s="71"/>
      <c r="K271" s="66" t="s">
        <v>25</v>
      </c>
      <c r="L271" s="41">
        <v>3</v>
      </c>
      <c r="M271" s="41"/>
      <c r="N271" s="47">
        <v>300</v>
      </c>
      <c r="O271" s="43">
        <f t="shared" si="85"/>
        <v>8.6666666666666572</v>
      </c>
      <c r="P271" s="47">
        <v>199</v>
      </c>
      <c r="Q271" s="47">
        <v>189</v>
      </c>
      <c r="R271" s="47">
        <v>207</v>
      </c>
      <c r="S271" s="48">
        <f t="shared" si="86"/>
        <v>432</v>
      </c>
      <c r="T271" s="43">
        <f t="shared" si="90"/>
        <v>198.33333333333334</v>
      </c>
      <c r="U271" s="44">
        <f t="shared" si="88"/>
        <v>46</v>
      </c>
      <c r="V271" s="45">
        <v>380</v>
      </c>
      <c r="W271" s="45">
        <v>3650</v>
      </c>
      <c r="X271" s="45" t="s">
        <v>56</v>
      </c>
      <c r="Y271" s="45" t="s">
        <v>42</v>
      </c>
      <c r="Z271" s="1">
        <f t="shared" si="89"/>
        <v>-14</v>
      </c>
      <c r="AA271" s="1">
        <f t="shared" si="84"/>
        <v>6.9282032302754999</v>
      </c>
    </row>
    <row r="272" spans="1:27" s="49" customFormat="1" ht="16.5" customHeight="1" thickBot="1" x14ac:dyDescent="0.25">
      <c r="A272" s="84">
        <v>265</v>
      </c>
      <c r="B272" s="52" t="s">
        <v>35</v>
      </c>
      <c r="C272" s="41" t="s">
        <v>36</v>
      </c>
      <c r="D272" s="41" t="s">
        <v>37</v>
      </c>
      <c r="E272" s="41" t="s">
        <v>227</v>
      </c>
      <c r="F272" s="45" t="s">
        <v>241</v>
      </c>
      <c r="G272" s="42" t="s">
        <v>470</v>
      </c>
      <c r="H272" s="46" t="s">
        <v>26</v>
      </c>
      <c r="I272" s="63"/>
      <c r="J272" s="71"/>
      <c r="K272" s="66" t="s">
        <v>25</v>
      </c>
      <c r="L272" s="41">
        <v>3</v>
      </c>
      <c r="M272" s="41"/>
      <c r="N272" s="47">
        <v>500</v>
      </c>
      <c r="O272" s="43">
        <f t="shared" si="85"/>
        <v>2.6666666666666856</v>
      </c>
      <c r="P272" s="47">
        <v>309</v>
      </c>
      <c r="Q272" s="47">
        <v>307</v>
      </c>
      <c r="R272" s="47">
        <v>312</v>
      </c>
      <c r="S272" s="48">
        <f t="shared" si="86"/>
        <v>720</v>
      </c>
      <c r="T272" s="43">
        <f t="shared" si="90"/>
        <v>309.33333333333331</v>
      </c>
      <c r="U272" s="44">
        <f t="shared" si="88"/>
        <v>43</v>
      </c>
      <c r="V272" s="45">
        <v>380</v>
      </c>
      <c r="W272" s="45">
        <v>3650</v>
      </c>
      <c r="X272" s="45" t="s">
        <v>56</v>
      </c>
      <c r="Y272" s="45" t="s">
        <v>42</v>
      </c>
      <c r="Z272" s="1">
        <f t="shared" si="89"/>
        <v>-3.5</v>
      </c>
      <c r="AA272" s="1">
        <f t="shared" si="84"/>
        <v>2.598076211353316</v>
      </c>
    </row>
    <row r="273" spans="1:27" s="114" customFormat="1" ht="21" customHeight="1" thickBot="1" x14ac:dyDescent="0.25">
      <c r="A273" s="98">
        <v>266</v>
      </c>
      <c r="B273" s="102" t="s">
        <v>35</v>
      </c>
      <c r="C273" s="103" t="s">
        <v>36</v>
      </c>
      <c r="D273" s="103" t="s">
        <v>37</v>
      </c>
      <c r="E273" s="103" t="s">
        <v>227</v>
      </c>
      <c r="F273" s="104" t="s">
        <v>241</v>
      </c>
      <c r="G273" s="99" t="s">
        <v>242</v>
      </c>
      <c r="H273" s="115" t="s">
        <v>23</v>
      </c>
      <c r="I273" s="121" t="s">
        <v>573</v>
      </c>
      <c r="J273" s="122">
        <v>2011</v>
      </c>
      <c r="K273" s="116" t="s">
        <v>25</v>
      </c>
      <c r="L273" s="103">
        <v>3</v>
      </c>
      <c r="M273" s="103">
        <v>3</v>
      </c>
      <c r="N273" s="117">
        <v>500</v>
      </c>
      <c r="O273" s="118">
        <f t="shared" si="85"/>
        <v>5</v>
      </c>
      <c r="P273" s="117">
        <v>220</v>
      </c>
      <c r="Q273" s="117">
        <v>232</v>
      </c>
      <c r="R273" s="117">
        <v>229</v>
      </c>
      <c r="S273" s="120">
        <f t="shared" si="86"/>
        <v>720</v>
      </c>
      <c r="T273" s="118">
        <f t="shared" ref="T273:T288" si="91">(R273+Q273+P273)/3</f>
        <v>227</v>
      </c>
      <c r="U273" s="100">
        <f t="shared" si="88"/>
        <v>32</v>
      </c>
      <c r="V273" s="104">
        <v>380</v>
      </c>
      <c r="W273" s="104">
        <v>3650</v>
      </c>
      <c r="X273" s="104" t="s">
        <v>56</v>
      </c>
      <c r="Y273" s="104" t="s">
        <v>42</v>
      </c>
      <c r="Z273" s="1">
        <f t="shared" si="89"/>
        <v>7.5</v>
      </c>
      <c r="AA273" s="1">
        <f t="shared" si="84"/>
        <v>7.794228634059948</v>
      </c>
    </row>
    <row r="274" spans="1:27" s="49" customFormat="1" ht="21" customHeight="1" thickBot="1" x14ac:dyDescent="0.25">
      <c r="A274" s="84">
        <v>267</v>
      </c>
      <c r="B274" s="52" t="s">
        <v>35</v>
      </c>
      <c r="C274" s="41" t="s">
        <v>36</v>
      </c>
      <c r="D274" s="41" t="s">
        <v>37</v>
      </c>
      <c r="E274" s="41" t="s">
        <v>227</v>
      </c>
      <c r="F274" s="45" t="s">
        <v>241</v>
      </c>
      <c r="G274" s="42" t="s">
        <v>584</v>
      </c>
      <c r="H274" s="46" t="s">
        <v>23</v>
      </c>
      <c r="I274" s="63"/>
      <c r="J274" s="71"/>
      <c r="K274" s="66" t="s">
        <v>28</v>
      </c>
      <c r="L274" s="41">
        <v>2</v>
      </c>
      <c r="M274" s="41">
        <v>1</v>
      </c>
      <c r="N274" s="47">
        <v>300</v>
      </c>
      <c r="O274" s="43">
        <f t="shared" si="85"/>
        <v>4.3333333333333428</v>
      </c>
      <c r="P274" s="47">
        <v>141</v>
      </c>
      <c r="Q274" s="47">
        <v>146</v>
      </c>
      <c r="R274" s="47">
        <v>138</v>
      </c>
      <c r="S274" s="48">
        <f t="shared" si="86"/>
        <v>432</v>
      </c>
      <c r="T274" s="43">
        <f t="shared" si="91"/>
        <v>141.66666666666666</v>
      </c>
      <c r="U274" s="44">
        <f t="shared" si="88"/>
        <v>33</v>
      </c>
      <c r="V274" s="45">
        <v>380</v>
      </c>
      <c r="W274" s="45">
        <v>3650</v>
      </c>
      <c r="X274" s="45" t="s">
        <v>56</v>
      </c>
      <c r="Y274" s="45" t="s">
        <v>42</v>
      </c>
      <c r="Z274" s="1">
        <f t="shared" si="89"/>
        <v>6.5</v>
      </c>
      <c r="AA274" s="1">
        <f t="shared" si="84"/>
        <v>-2.598076211353316</v>
      </c>
    </row>
    <row r="275" spans="1:27" s="114" customFormat="1" ht="19.899999999999999" customHeight="1" thickBot="1" x14ac:dyDescent="0.25">
      <c r="A275" s="98">
        <v>268</v>
      </c>
      <c r="B275" s="102" t="s">
        <v>35</v>
      </c>
      <c r="C275" s="103" t="s">
        <v>36</v>
      </c>
      <c r="D275" s="103" t="s">
        <v>37</v>
      </c>
      <c r="E275" s="103" t="s">
        <v>227</v>
      </c>
      <c r="F275" s="104" t="s">
        <v>241</v>
      </c>
      <c r="G275" s="99" t="s">
        <v>243</v>
      </c>
      <c r="H275" s="115" t="s">
        <v>23</v>
      </c>
      <c r="I275" s="121" t="s">
        <v>591</v>
      </c>
      <c r="J275" s="122">
        <v>2013</v>
      </c>
      <c r="K275" s="116" t="s">
        <v>25</v>
      </c>
      <c r="L275" s="103">
        <v>3</v>
      </c>
      <c r="M275" s="103">
        <v>2</v>
      </c>
      <c r="N275" s="117">
        <v>1000</v>
      </c>
      <c r="O275" s="118">
        <f t="shared" si="85"/>
        <v>7</v>
      </c>
      <c r="P275" s="117">
        <v>469</v>
      </c>
      <c r="Q275" s="117">
        <v>481</v>
      </c>
      <c r="R275" s="117">
        <v>472</v>
      </c>
      <c r="S275" s="120">
        <f t="shared" ref="S275" si="92">1.44*N275</f>
        <v>1440</v>
      </c>
      <c r="T275" s="118">
        <f t="shared" ref="T275" si="93">(R275+Q275+P275)/3</f>
        <v>474</v>
      </c>
      <c r="U275" s="100">
        <f t="shared" ref="U275" si="94">ROUND(((AVERAGE(P275,R275,Q275))/(N275*1.44))*100,0)</f>
        <v>33</v>
      </c>
      <c r="V275" s="104">
        <v>381</v>
      </c>
      <c r="W275" s="104">
        <v>3650</v>
      </c>
      <c r="X275" s="104" t="s">
        <v>56</v>
      </c>
      <c r="Y275" s="104" t="s">
        <v>42</v>
      </c>
      <c r="Z275" s="1" t="e">
        <f>#REF!-0.5*#REF!-0.5*#REF!</f>
        <v>#REF!</v>
      </c>
      <c r="AA275" s="1" t="e">
        <f>SQRT(3)/2*#REF!-SQRT(3)/2*#REF!</f>
        <v>#REF!</v>
      </c>
    </row>
    <row r="276" spans="1:27" s="114" customFormat="1" ht="21.6" customHeight="1" thickBot="1" x14ac:dyDescent="0.3">
      <c r="A276" s="98">
        <v>269</v>
      </c>
      <c r="B276" s="102" t="s">
        <v>35</v>
      </c>
      <c r="C276" s="103" t="s">
        <v>36</v>
      </c>
      <c r="D276" s="103" t="s">
        <v>37</v>
      </c>
      <c r="E276" s="103" t="s">
        <v>227</v>
      </c>
      <c r="F276" s="104" t="s">
        <v>241</v>
      </c>
      <c r="G276" s="99" t="s">
        <v>244</v>
      </c>
      <c r="H276" s="115" t="s">
        <v>23</v>
      </c>
      <c r="I276" s="121"/>
      <c r="J276" s="122"/>
      <c r="K276" s="116" t="s">
        <v>25</v>
      </c>
      <c r="L276" s="103">
        <v>3</v>
      </c>
      <c r="M276" s="103">
        <v>2</v>
      </c>
      <c r="N276" s="117">
        <v>500</v>
      </c>
      <c r="O276" s="118">
        <f t="shared" si="85"/>
        <v>6</v>
      </c>
      <c r="P276" s="119">
        <v>239</v>
      </c>
      <c r="Q276" s="119">
        <v>246</v>
      </c>
      <c r="R276" s="119">
        <v>235</v>
      </c>
      <c r="S276" s="120">
        <f t="shared" si="86"/>
        <v>720</v>
      </c>
      <c r="T276" s="118">
        <f t="shared" si="91"/>
        <v>240</v>
      </c>
      <c r="U276" s="100">
        <f t="shared" si="88"/>
        <v>33</v>
      </c>
      <c r="V276" s="104">
        <v>382</v>
      </c>
      <c r="W276" s="104">
        <v>3650</v>
      </c>
      <c r="X276" s="104" t="s">
        <v>56</v>
      </c>
      <c r="Y276" s="104" t="s">
        <v>42</v>
      </c>
      <c r="Z276" s="1">
        <f t="shared" si="89"/>
        <v>9</v>
      </c>
      <c r="AA276" s="1">
        <f t="shared" si="84"/>
        <v>-3.4641016151377642</v>
      </c>
    </row>
    <row r="277" spans="1:27" s="49" customFormat="1" ht="19.899999999999999" customHeight="1" thickBot="1" x14ac:dyDescent="0.3">
      <c r="A277" s="84">
        <v>270</v>
      </c>
      <c r="B277" s="52" t="s">
        <v>35</v>
      </c>
      <c r="C277" s="41" t="s">
        <v>36</v>
      </c>
      <c r="D277" s="41" t="s">
        <v>37</v>
      </c>
      <c r="E277" s="41" t="s">
        <v>227</v>
      </c>
      <c r="F277" s="45" t="s">
        <v>241</v>
      </c>
      <c r="G277" s="42" t="s">
        <v>245</v>
      </c>
      <c r="H277" s="46" t="s">
        <v>23</v>
      </c>
      <c r="I277" s="63" t="s">
        <v>573</v>
      </c>
      <c r="J277" s="71">
        <v>2011</v>
      </c>
      <c r="K277" s="66" t="s">
        <v>25</v>
      </c>
      <c r="L277" s="41">
        <v>3</v>
      </c>
      <c r="M277" s="41">
        <v>3</v>
      </c>
      <c r="N277" s="47">
        <v>500</v>
      </c>
      <c r="O277" s="43">
        <f t="shared" si="85"/>
        <v>6.3333333333333428</v>
      </c>
      <c r="P277" s="57">
        <v>241</v>
      </c>
      <c r="Q277" s="57">
        <v>236</v>
      </c>
      <c r="R277" s="57">
        <v>248</v>
      </c>
      <c r="S277" s="48">
        <f t="shared" si="86"/>
        <v>720</v>
      </c>
      <c r="T277" s="43">
        <f t="shared" si="91"/>
        <v>241.66666666666666</v>
      </c>
      <c r="U277" s="44">
        <f t="shared" si="88"/>
        <v>34</v>
      </c>
      <c r="V277" s="45">
        <v>383</v>
      </c>
      <c r="W277" s="45">
        <v>3650</v>
      </c>
      <c r="X277" s="45" t="s">
        <v>56</v>
      </c>
      <c r="Y277" s="45" t="s">
        <v>42</v>
      </c>
      <c r="Z277" s="1">
        <f t="shared" si="89"/>
        <v>-8.5</v>
      </c>
      <c r="AA277" s="1">
        <f t="shared" si="84"/>
        <v>6.0621778264910802</v>
      </c>
    </row>
    <row r="278" spans="1:27" s="49" customFormat="1" ht="20.45" customHeight="1" thickBot="1" x14ac:dyDescent="0.3">
      <c r="A278" s="84">
        <v>271</v>
      </c>
      <c r="B278" s="52" t="s">
        <v>35</v>
      </c>
      <c r="C278" s="41" t="s">
        <v>36</v>
      </c>
      <c r="D278" s="41" t="s">
        <v>37</v>
      </c>
      <c r="E278" s="41" t="s">
        <v>227</v>
      </c>
      <c r="F278" s="45" t="s">
        <v>241</v>
      </c>
      <c r="G278" s="42" t="s">
        <v>253</v>
      </c>
      <c r="H278" s="46" t="s">
        <v>23</v>
      </c>
      <c r="I278" s="62" t="s">
        <v>573</v>
      </c>
      <c r="J278" s="70">
        <v>1997</v>
      </c>
      <c r="K278" s="66" t="s">
        <v>28</v>
      </c>
      <c r="L278" s="41">
        <v>3</v>
      </c>
      <c r="M278" s="41"/>
      <c r="N278" s="47">
        <v>100</v>
      </c>
      <c r="O278" s="43">
        <f t="shared" si="85"/>
        <v>6.3333333333333357</v>
      </c>
      <c r="P278" s="57">
        <v>57</v>
      </c>
      <c r="Q278" s="57">
        <v>46</v>
      </c>
      <c r="R278" s="57">
        <v>49</v>
      </c>
      <c r="S278" s="48">
        <f t="shared" si="86"/>
        <v>144</v>
      </c>
      <c r="T278" s="43">
        <f t="shared" si="91"/>
        <v>50.666666666666664</v>
      </c>
      <c r="U278" s="44">
        <f t="shared" si="88"/>
        <v>35</v>
      </c>
      <c r="V278" s="45">
        <v>382</v>
      </c>
      <c r="W278" s="45">
        <v>3650</v>
      </c>
      <c r="X278" s="45" t="s">
        <v>56</v>
      </c>
      <c r="Y278" s="45" t="s">
        <v>42</v>
      </c>
      <c r="Z278" s="1"/>
      <c r="AA278" s="1"/>
    </row>
    <row r="279" spans="1:27" s="49" customFormat="1" ht="18.600000000000001" customHeight="1" thickBot="1" x14ac:dyDescent="0.3">
      <c r="A279" s="84">
        <v>272</v>
      </c>
      <c r="B279" s="52" t="s">
        <v>35</v>
      </c>
      <c r="C279" s="41" t="s">
        <v>36</v>
      </c>
      <c r="D279" s="41" t="s">
        <v>37</v>
      </c>
      <c r="E279" s="41" t="s">
        <v>227</v>
      </c>
      <c r="F279" s="45" t="s">
        <v>241</v>
      </c>
      <c r="G279" s="42" t="s">
        <v>246</v>
      </c>
      <c r="H279" s="46" t="s">
        <v>23</v>
      </c>
      <c r="I279" s="63"/>
      <c r="J279" s="71"/>
      <c r="K279" s="66" t="s">
        <v>25</v>
      </c>
      <c r="L279" s="41">
        <v>3</v>
      </c>
      <c r="M279" s="41">
        <v>3</v>
      </c>
      <c r="N279" s="47">
        <v>500</v>
      </c>
      <c r="O279" s="43">
        <f t="shared" si="85"/>
        <v>5.3333333333333428</v>
      </c>
      <c r="P279" s="57">
        <v>246</v>
      </c>
      <c r="Q279" s="57">
        <v>235</v>
      </c>
      <c r="R279" s="57">
        <v>241</v>
      </c>
      <c r="S279" s="48">
        <f t="shared" ref="S279" si="95">1.44*N279</f>
        <v>720</v>
      </c>
      <c r="T279" s="43">
        <f t="shared" ref="T279" si="96">(R279+Q279+P279)/3</f>
        <v>240.66666666666666</v>
      </c>
      <c r="U279" s="44">
        <f t="shared" ref="U279" si="97">ROUND(((AVERAGE(P279,R279,Q279))/(N279*1.44))*100,0)</f>
        <v>33</v>
      </c>
      <c r="V279" s="45">
        <v>382</v>
      </c>
      <c r="W279" s="45">
        <v>3650</v>
      </c>
      <c r="X279" s="45" t="s">
        <v>56</v>
      </c>
      <c r="Y279" s="45" t="s">
        <v>42</v>
      </c>
      <c r="Z279" s="1">
        <f t="shared" si="89"/>
        <v>-8.5</v>
      </c>
      <c r="AA279" s="1">
        <f t="shared" si="84"/>
        <v>-4.3301270189221839</v>
      </c>
    </row>
    <row r="280" spans="1:27" s="114" customFormat="1" ht="16.5" customHeight="1" thickBot="1" x14ac:dyDescent="0.3">
      <c r="A280" s="98">
        <v>273</v>
      </c>
      <c r="B280" s="102" t="s">
        <v>35</v>
      </c>
      <c r="C280" s="103" t="s">
        <v>36</v>
      </c>
      <c r="D280" s="103" t="s">
        <v>37</v>
      </c>
      <c r="E280" s="103" t="s">
        <v>227</v>
      </c>
      <c r="F280" s="104" t="s">
        <v>241</v>
      </c>
      <c r="G280" s="99" t="s">
        <v>254</v>
      </c>
      <c r="H280" s="115" t="s">
        <v>23</v>
      </c>
      <c r="I280" s="107" t="s">
        <v>573</v>
      </c>
      <c r="J280" s="108">
        <v>2016</v>
      </c>
      <c r="K280" s="116" t="s">
        <v>28</v>
      </c>
      <c r="L280" s="103">
        <v>3</v>
      </c>
      <c r="M280" s="103">
        <v>1</v>
      </c>
      <c r="N280" s="117">
        <v>200</v>
      </c>
      <c r="O280" s="118">
        <f t="shared" si="85"/>
        <v>7.3333333333333286</v>
      </c>
      <c r="P280" s="119">
        <v>99</v>
      </c>
      <c r="Q280" s="119">
        <v>113</v>
      </c>
      <c r="R280" s="119">
        <v>105</v>
      </c>
      <c r="S280" s="120">
        <f t="shared" si="86"/>
        <v>288</v>
      </c>
      <c r="T280" s="118">
        <f t="shared" si="91"/>
        <v>105.66666666666667</v>
      </c>
      <c r="U280" s="100">
        <f t="shared" si="88"/>
        <v>37</v>
      </c>
      <c r="V280" s="104">
        <v>382</v>
      </c>
      <c r="W280" s="104">
        <v>3650</v>
      </c>
      <c r="X280" s="104" t="s">
        <v>56</v>
      </c>
      <c r="Y280" s="104" t="s">
        <v>42</v>
      </c>
      <c r="Z280" s="1"/>
      <c r="AA280" s="1"/>
    </row>
    <row r="281" spans="1:27" s="114" customFormat="1" ht="18.600000000000001" customHeight="1" thickBot="1" x14ac:dyDescent="0.3">
      <c r="A281" s="98">
        <v>274</v>
      </c>
      <c r="B281" s="102" t="s">
        <v>35</v>
      </c>
      <c r="C281" s="103" t="s">
        <v>36</v>
      </c>
      <c r="D281" s="103" t="s">
        <v>37</v>
      </c>
      <c r="E281" s="103" t="s">
        <v>227</v>
      </c>
      <c r="F281" s="104" t="s">
        <v>241</v>
      </c>
      <c r="G281" s="99" t="s">
        <v>255</v>
      </c>
      <c r="H281" s="115" t="s">
        <v>23</v>
      </c>
      <c r="I281" s="107" t="s">
        <v>573</v>
      </c>
      <c r="J281" s="108">
        <v>2007</v>
      </c>
      <c r="K281" s="116" t="s">
        <v>28</v>
      </c>
      <c r="L281" s="103">
        <v>3</v>
      </c>
      <c r="M281" s="103">
        <v>4</v>
      </c>
      <c r="N281" s="117">
        <v>800</v>
      </c>
      <c r="O281" s="118">
        <f t="shared" si="85"/>
        <v>5.6666666666666856</v>
      </c>
      <c r="P281" s="119">
        <v>358</v>
      </c>
      <c r="Q281" s="119">
        <v>345</v>
      </c>
      <c r="R281" s="119">
        <v>354</v>
      </c>
      <c r="S281" s="120">
        <f t="shared" si="86"/>
        <v>1152</v>
      </c>
      <c r="T281" s="118">
        <f t="shared" si="91"/>
        <v>352.33333333333331</v>
      </c>
      <c r="U281" s="100">
        <f t="shared" si="88"/>
        <v>31</v>
      </c>
      <c r="V281" s="104">
        <v>381</v>
      </c>
      <c r="W281" s="104">
        <v>3650</v>
      </c>
      <c r="X281" s="104" t="s">
        <v>56</v>
      </c>
      <c r="Y281" s="104" t="s">
        <v>42</v>
      </c>
      <c r="Z281" s="1"/>
      <c r="AA281" s="1"/>
    </row>
    <row r="282" spans="1:27" s="114" customFormat="1" ht="19.149999999999999" customHeight="1" thickBot="1" x14ac:dyDescent="0.3">
      <c r="A282" s="98">
        <v>275</v>
      </c>
      <c r="B282" s="102" t="s">
        <v>35</v>
      </c>
      <c r="C282" s="103" t="s">
        <v>36</v>
      </c>
      <c r="D282" s="103" t="s">
        <v>37</v>
      </c>
      <c r="E282" s="103" t="s">
        <v>227</v>
      </c>
      <c r="F282" s="104" t="s">
        <v>241</v>
      </c>
      <c r="G282" s="99" t="s">
        <v>256</v>
      </c>
      <c r="H282" s="115" t="s">
        <v>23</v>
      </c>
      <c r="I282" s="107" t="s">
        <v>573</v>
      </c>
      <c r="J282" s="108">
        <v>2019</v>
      </c>
      <c r="K282" s="116" t="s">
        <v>28</v>
      </c>
      <c r="L282" s="103">
        <v>3</v>
      </c>
      <c r="M282" s="103">
        <v>1</v>
      </c>
      <c r="N282" s="117">
        <v>300</v>
      </c>
      <c r="O282" s="118">
        <f t="shared" si="85"/>
        <v>4.6666666666666572</v>
      </c>
      <c r="P282" s="119">
        <v>146</v>
      </c>
      <c r="Q282" s="119">
        <v>151</v>
      </c>
      <c r="R282" s="119">
        <v>142</v>
      </c>
      <c r="S282" s="120">
        <f t="shared" si="86"/>
        <v>432</v>
      </c>
      <c r="T282" s="118">
        <f t="shared" si="91"/>
        <v>146.33333333333334</v>
      </c>
      <c r="U282" s="100">
        <f t="shared" si="88"/>
        <v>34</v>
      </c>
      <c r="V282" s="104">
        <v>381</v>
      </c>
      <c r="W282" s="104">
        <v>3650</v>
      </c>
      <c r="X282" s="104" t="s">
        <v>56</v>
      </c>
      <c r="Y282" s="104" t="s">
        <v>42</v>
      </c>
      <c r="Z282" s="1"/>
      <c r="AA282" s="1"/>
    </row>
    <row r="283" spans="1:27" s="49" customFormat="1" ht="19.149999999999999" customHeight="1" thickBot="1" x14ac:dyDescent="0.3">
      <c r="A283" s="84">
        <v>276</v>
      </c>
      <c r="B283" s="52" t="s">
        <v>35</v>
      </c>
      <c r="C283" s="41" t="s">
        <v>36</v>
      </c>
      <c r="D283" s="41" t="s">
        <v>37</v>
      </c>
      <c r="E283" s="41" t="s">
        <v>227</v>
      </c>
      <c r="F283" s="45" t="s">
        <v>241</v>
      </c>
      <c r="G283" s="42" t="s">
        <v>257</v>
      </c>
      <c r="H283" s="46" t="s">
        <v>23</v>
      </c>
      <c r="I283" s="62" t="s">
        <v>598</v>
      </c>
      <c r="J283" s="70">
        <v>1978</v>
      </c>
      <c r="K283" s="66" t="s">
        <v>28</v>
      </c>
      <c r="L283" s="41">
        <v>3</v>
      </c>
      <c r="M283" s="41"/>
      <c r="N283" s="47">
        <v>63</v>
      </c>
      <c r="O283" s="43">
        <f t="shared" si="85"/>
        <v>6.6666666666666643</v>
      </c>
      <c r="P283" s="57">
        <v>48</v>
      </c>
      <c r="Q283" s="57">
        <v>52</v>
      </c>
      <c r="R283" s="57">
        <v>60</v>
      </c>
      <c r="S283" s="48">
        <f t="shared" si="86"/>
        <v>90.72</v>
      </c>
      <c r="T283" s="43">
        <f t="shared" si="91"/>
        <v>53.333333333333336</v>
      </c>
      <c r="U283" s="44">
        <f t="shared" si="88"/>
        <v>59</v>
      </c>
      <c r="V283" s="45">
        <v>382</v>
      </c>
      <c r="W283" s="45">
        <v>3650</v>
      </c>
      <c r="X283" s="45" t="s">
        <v>56</v>
      </c>
      <c r="Y283" s="45" t="s">
        <v>42</v>
      </c>
      <c r="Z283" s="1"/>
      <c r="AA283" s="1"/>
    </row>
    <row r="284" spans="1:27" s="114" customFormat="1" ht="18.600000000000001" customHeight="1" thickBot="1" x14ac:dyDescent="0.25">
      <c r="A284" s="98">
        <v>277</v>
      </c>
      <c r="B284" s="102" t="s">
        <v>35</v>
      </c>
      <c r="C284" s="103" t="s">
        <v>36</v>
      </c>
      <c r="D284" s="103" t="s">
        <v>37</v>
      </c>
      <c r="E284" s="103" t="s">
        <v>227</v>
      </c>
      <c r="F284" s="104" t="s">
        <v>241</v>
      </c>
      <c r="G284" s="99" t="s">
        <v>247</v>
      </c>
      <c r="H284" s="115" t="s">
        <v>23</v>
      </c>
      <c r="I284" s="121" t="s">
        <v>573</v>
      </c>
      <c r="J284" s="122">
        <v>2020</v>
      </c>
      <c r="K284" s="116" t="s">
        <v>25</v>
      </c>
      <c r="L284" s="103">
        <v>3</v>
      </c>
      <c r="M284" s="103">
        <v>4</v>
      </c>
      <c r="N284" s="117">
        <v>1000</v>
      </c>
      <c r="O284" s="118">
        <f t="shared" si="85"/>
        <v>7</v>
      </c>
      <c r="P284" s="117">
        <v>637</v>
      </c>
      <c r="Q284" s="117">
        <v>621</v>
      </c>
      <c r="R284" s="117">
        <v>632</v>
      </c>
      <c r="S284" s="120">
        <f t="shared" si="86"/>
        <v>1440</v>
      </c>
      <c r="T284" s="118">
        <f t="shared" si="91"/>
        <v>630</v>
      </c>
      <c r="U284" s="100">
        <f t="shared" si="88"/>
        <v>44</v>
      </c>
      <c r="V284" s="104">
        <v>380</v>
      </c>
      <c r="W284" s="104">
        <v>3650</v>
      </c>
      <c r="X284" s="104" t="s">
        <v>56</v>
      </c>
      <c r="Y284" s="104" t="s">
        <v>42</v>
      </c>
      <c r="Z284" s="1">
        <f t="shared" si="89"/>
        <v>-13.5</v>
      </c>
      <c r="AA284" s="1">
        <f t="shared" si="84"/>
        <v>-4.3301270189222123</v>
      </c>
    </row>
    <row r="285" spans="1:27" s="114" customFormat="1" ht="16.5" customHeight="1" thickBot="1" x14ac:dyDescent="0.25">
      <c r="A285" s="98">
        <v>278</v>
      </c>
      <c r="B285" s="102" t="s">
        <v>35</v>
      </c>
      <c r="C285" s="103" t="s">
        <v>36</v>
      </c>
      <c r="D285" s="103" t="s">
        <v>37</v>
      </c>
      <c r="E285" s="103" t="s">
        <v>227</v>
      </c>
      <c r="F285" s="104" t="s">
        <v>241</v>
      </c>
      <c r="G285" s="99" t="s">
        <v>248</v>
      </c>
      <c r="H285" s="115" t="s">
        <v>23</v>
      </c>
      <c r="I285" s="107" t="s">
        <v>573</v>
      </c>
      <c r="J285" s="108">
        <v>2003</v>
      </c>
      <c r="K285" s="116" t="s">
        <v>28</v>
      </c>
      <c r="L285" s="103">
        <v>3</v>
      </c>
      <c r="M285" s="103">
        <v>4</v>
      </c>
      <c r="N285" s="117">
        <v>1000</v>
      </c>
      <c r="O285" s="118">
        <f t="shared" si="85"/>
        <v>6.3333333333333712</v>
      </c>
      <c r="P285" s="117">
        <v>619</v>
      </c>
      <c r="Q285" s="117">
        <v>625</v>
      </c>
      <c r="R285" s="117">
        <v>612</v>
      </c>
      <c r="S285" s="120">
        <f t="shared" si="86"/>
        <v>1440</v>
      </c>
      <c r="T285" s="118">
        <f t="shared" si="91"/>
        <v>618.66666666666663</v>
      </c>
      <c r="U285" s="100">
        <f t="shared" si="88"/>
        <v>43</v>
      </c>
      <c r="V285" s="104">
        <v>380</v>
      </c>
      <c r="W285" s="104">
        <v>3650</v>
      </c>
      <c r="X285" s="104" t="s">
        <v>56</v>
      </c>
      <c r="Y285" s="104" t="s">
        <v>42</v>
      </c>
      <c r="Z285" s="1">
        <f t="shared" si="89"/>
        <v>9.5</v>
      </c>
      <c r="AA285" s="1">
        <f t="shared" si="84"/>
        <v>-6.0621778264910517</v>
      </c>
    </row>
    <row r="286" spans="1:27" s="49" customFormat="1" ht="16.5" customHeight="1" thickBot="1" x14ac:dyDescent="0.25">
      <c r="A286" s="84">
        <v>279</v>
      </c>
      <c r="B286" s="52" t="s">
        <v>35</v>
      </c>
      <c r="C286" s="41" t="s">
        <v>36</v>
      </c>
      <c r="D286" s="41" t="s">
        <v>37</v>
      </c>
      <c r="E286" s="41" t="s">
        <v>227</v>
      </c>
      <c r="F286" s="45" t="s">
        <v>241</v>
      </c>
      <c r="G286" s="42" t="s">
        <v>249</v>
      </c>
      <c r="H286" s="46" t="s">
        <v>23</v>
      </c>
      <c r="I286" s="63"/>
      <c r="J286" s="71"/>
      <c r="K286" s="66" t="s">
        <v>25</v>
      </c>
      <c r="L286" s="41">
        <v>3</v>
      </c>
      <c r="M286" s="41">
        <v>2</v>
      </c>
      <c r="N286" s="47">
        <v>500</v>
      </c>
      <c r="O286" s="43">
        <f t="shared" si="85"/>
        <v>6</v>
      </c>
      <c r="P286" s="47">
        <v>278</v>
      </c>
      <c r="Q286" s="47">
        <v>263</v>
      </c>
      <c r="R286" s="47">
        <v>275</v>
      </c>
      <c r="S286" s="48">
        <f t="shared" si="86"/>
        <v>720</v>
      </c>
      <c r="T286" s="43">
        <f t="shared" si="91"/>
        <v>272</v>
      </c>
      <c r="U286" s="44">
        <f t="shared" si="88"/>
        <v>38</v>
      </c>
      <c r="V286" s="45">
        <v>380</v>
      </c>
      <c r="W286" s="45">
        <v>3650</v>
      </c>
      <c r="X286" s="45" t="s">
        <v>56</v>
      </c>
      <c r="Y286" s="45" t="s">
        <v>42</v>
      </c>
      <c r="Z286" s="1">
        <f t="shared" si="89"/>
        <v>-13.5</v>
      </c>
      <c r="AA286" s="1">
        <f t="shared" si="84"/>
        <v>-2.598076211353316</v>
      </c>
    </row>
    <row r="287" spans="1:27" s="114" customFormat="1" ht="16.5" customHeight="1" thickBot="1" x14ac:dyDescent="0.25">
      <c r="A287" s="98">
        <v>280</v>
      </c>
      <c r="B287" s="102" t="s">
        <v>35</v>
      </c>
      <c r="C287" s="103" t="s">
        <v>36</v>
      </c>
      <c r="D287" s="103" t="s">
        <v>37</v>
      </c>
      <c r="E287" s="103" t="s">
        <v>227</v>
      </c>
      <c r="F287" s="104" t="s">
        <v>241</v>
      </c>
      <c r="G287" s="99" t="s">
        <v>250</v>
      </c>
      <c r="H287" s="115" t="s">
        <v>23</v>
      </c>
      <c r="I287" s="121"/>
      <c r="J287" s="122"/>
      <c r="K287" s="116" t="s">
        <v>25</v>
      </c>
      <c r="L287" s="103">
        <v>3</v>
      </c>
      <c r="M287" s="103">
        <v>4</v>
      </c>
      <c r="N287" s="117">
        <v>500</v>
      </c>
      <c r="O287" s="118">
        <f t="shared" si="85"/>
        <v>6.6666666666666572</v>
      </c>
      <c r="P287" s="117">
        <v>259</v>
      </c>
      <c r="Q287" s="117">
        <v>243</v>
      </c>
      <c r="R287" s="117">
        <v>255</v>
      </c>
      <c r="S287" s="120">
        <f t="shared" si="86"/>
        <v>720</v>
      </c>
      <c r="T287" s="118">
        <f t="shared" si="91"/>
        <v>252.33333333333334</v>
      </c>
      <c r="U287" s="100">
        <f t="shared" si="88"/>
        <v>35</v>
      </c>
      <c r="V287" s="104">
        <v>381</v>
      </c>
      <c r="W287" s="104">
        <v>3650</v>
      </c>
      <c r="X287" s="104" t="s">
        <v>56</v>
      </c>
      <c r="Y287" s="104" t="s">
        <v>42</v>
      </c>
      <c r="Z287" s="1">
        <f t="shared" si="89"/>
        <v>-14</v>
      </c>
      <c r="AA287" s="1">
        <f t="shared" si="84"/>
        <v>-3.4641016151377642</v>
      </c>
    </row>
    <row r="288" spans="1:27" s="49" customFormat="1" ht="16.5" customHeight="1" thickBot="1" x14ac:dyDescent="0.25">
      <c r="A288" s="84">
        <v>281</v>
      </c>
      <c r="B288" s="52" t="s">
        <v>35</v>
      </c>
      <c r="C288" s="41" t="s">
        <v>36</v>
      </c>
      <c r="D288" s="41" t="s">
        <v>37</v>
      </c>
      <c r="E288" s="41" t="s">
        <v>227</v>
      </c>
      <c r="F288" s="45" t="s">
        <v>241</v>
      </c>
      <c r="G288" s="42" t="s">
        <v>471</v>
      </c>
      <c r="H288" s="46" t="s">
        <v>26</v>
      </c>
      <c r="I288" s="62"/>
      <c r="J288" s="70"/>
      <c r="K288" s="66" t="s">
        <v>28</v>
      </c>
      <c r="L288" s="41">
        <v>3</v>
      </c>
      <c r="M288" s="41"/>
      <c r="N288" s="47">
        <v>500</v>
      </c>
      <c r="O288" s="43">
        <f t="shared" si="85"/>
        <v>6</v>
      </c>
      <c r="P288" s="47">
        <v>300</v>
      </c>
      <c r="Q288" s="47">
        <v>304</v>
      </c>
      <c r="R288" s="47">
        <v>311</v>
      </c>
      <c r="S288" s="48">
        <f t="shared" si="86"/>
        <v>720</v>
      </c>
      <c r="T288" s="43">
        <f t="shared" si="91"/>
        <v>305</v>
      </c>
      <c r="U288" s="44">
        <f t="shared" si="88"/>
        <v>42</v>
      </c>
      <c r="V288" s="45">
        <v>381</v>
      </c>
      <c r="W288" s="45">
        <v>3650</v>
      </c>
      <c r="X288" s="45" t="s">
        <v>56</v>
      </c>
      <c r="Y288" s="45" t="s">
        <v>42</v>
      </c>
      <c r="Z288" s="1">
        <f t="shared" si="89"/>
        <v>-1.5</v>
      </c>
      <c r="AA288" s="1">
        <f t="shared" si="84"/>
        <v>9.5262794416287875</v>
      </c>
    </row>
    <row r="289" spans="1:27" s="114" customFormat="1" ht="16.5" customHeight="1" thickBot="1" x14ac:dyDescent="0.25">
      <c r="A289" s="98">
        <v>282</v>
      </c>
      <c r="B289" s="102" t="s">
        <v>35</v>
      </c>
      <c r="C289" s="103" t="s">
        <v>36</v>
      </c>
      <c r="D289" s="103" t="s">
        <v>37</v>
      </c>
      <c r="E289" s="103" t="s">
        <v>227</v>
      </c>
      <c r="F289" s="104" t="s">
        <v>241</v>
      </c>
      <c r="G289" s="99" t="s">
        <v>252</v>
      </c>
      <c r="H289" s="115" t="s">
        <v>23</v>
      </c>
      <c r="I289" s="107"/>
      <c r="J289" s="108"/>
      <c r="K289" s="116" t="s">
        <v>28</v>
      </c>
      <c r="L289" s="103">
        <v>3</v>
      </c>
      <c r="M289" s="103">
        <v>4</v>
      </c>
      <c r="N289" s="117">
        <v>1000</v>
      </c>
      <c r="O289" s="118">
        <f t="shared" si="85"/>
        <v>7.3333333333333712</v>
      </c>
      <c r="P289" s="117">
        <v>670</v>
      </c>
      <c r="Q289" s="117">
        <v>662</v>
      </c>
      <c r="R289" s="117">
        <v>656</v>
      </c>
      <c r="S289" s="120">
        <f t="shared" si="86"/>
        <v>1440</v>
      </c>
      <c r="T289" s="118">
        <f t="shared" ref="T289:T292" si="98">(R289+Q289+P289)/3</f>
        <v>662.66666666666663</v>
      </c>
      <c r="U289" s="100">
        <f t="shared" si="88"/>
        <v>46</v>
      </c>
      <c r="V289" s="104">
        <v>381</v>
      </c>
      <c r="W289" s="104">
        <v>3650</v>
      </c>
      <c r="X289" s="104" t="s">
        <v>56</v>
      </c>
      <c r="Y289" s="104" t="s">
        <v>42</v>
      </c>
      <c r="Z289" s="1">
        <f t="shared" si="89"/>
        <v>-1</v>
      </c>
      <c r="AA289" s="1">
        <f t="shared" si="84"/>
        <v>-12.124355652982103</v>
      </c>
    </row>
    <row r="290" spans="1:27" s="114" customFormat="1" ht="16.5" customHeight="1" thickBot="1" x14ac:dyDescent="0.25">
      <c r="A290" s="98">
        <v>283</v>
      </c>
      <c r="B290" s="102" t="s">
        <v>35</v>
      </c>
      <c r="C290" s="103" t="s">
        <v>36</v>
      </c>
      <c r="D290" s="103" t="s">
        <v>37</v>
      </c>
      <c r="E290" s="103" t="s">
        <v>227</v>
      </c>
      <c r="F290" s="104" t="s">
        <v>258</v>
      </c>
      <c r="G290" s="99" t="s">
        <v>258</v>
      </c>
      <c r="H290" s="115" t="s">
        <v>23</v>
      </c>
      <c r="I290" s="121" t="s">
        <v>591</v>
      </c>
      <c r="J290" s="122">
        <v>2018</v>
      </c>
      <c r="K290" s="116" t="s">
        <v>25</v>
      </c>
      <c r="L290" s="103">
        <v>3</v>
      </c>
      <c r="M290" s="103">
        <v>7</v>
      </c>
      <c r="N290" s="117">
        <v>1000</v>
      </c>
      <c r="O290" s="118">
        <f t="shared" si="85"/>
        <v>6.6666666666666288</v>
      </c>
      <c r="P290" s="117">
        <v>562</v>
      </c>
      <c r="Q290" s="117">
        <v>575</v>
      </c>
      <c r="R290" s="117">
        <v>568</v>
      </c>
      <c r="S290" s="120">
        <f t="shared" si="86"/>
        <v>1440</v>
      </c>
      <c r="T290" s="118">
        <f t="shared" si="98"/>
        <v>568.33333333333337</v>
      </c>
      <c r="U290" s="100">
        <f t="shared" si="88"/>
        <v>39</v>
      </c>
      <c r="V290" s="104">
        <v>380</v>
      </c>
      <c r="W290" s="104">
        <v>3450</v>
      </c>
      <c r="X290" s="104" t="s">
        <v>56</v>
      </c>
      <c r="Y290" s="104" t="s">
        <v>42</v>
      </c>
      <c r="Z290" s="1">
        <f t="shared" si="89"/>
        <v>10</v>
      </c>
      <c r="AA290" s="1">
        <f t="shared" si="84"/>
        <v>5.196152422706632</v>
      </c>
    </row>
    <row r="291" spans="1:27" s="114" customFormat="1" ht="16.5" customHeight="1" thickBot="1" x14ac:dyDescent="0.25">
      <c r="A291" s="98">
        <v>284</v>
      </c>
      <c r="B291" s="102" t="s">
        <v>35</v>
      </c>
      <c r="C291" s="103" t="s">
        <v>36</v>
      </c>
      <c r="D291" s="103" t="s">
        <v>37</v>
      </c>
      <c r="E291" s="103" t="s">
        <v>227</v>
      </c>
      <c r="F291" s="104" t="s">
        <v>258</v>
      </c>
      <c r="G291" s="99" t="s">
        <v>259</v>
      </c>
      <c r="H291" s="115" t="s">
        <v>23</v>
      </c>
      <c r="I291" s="121" t="s">
        <v>573</v>
      </c>
      <c r="J291" s="122">
        <v>2015</v>
      </c>
      <c r="K291" s="116" t="s">
        <v>25</v>
      </c>
      <c r="L291" s="103">
        <v>3</v>
      </c>
      <c r="M291" s="103">
        <v>6</v>
      </c>
      <c r="N291" s="117">
        <v>1000</v>
      </c>
      <c r="O291" s="118">
        <f t="shared" si="85"/>
        <v>6.6666666666666288</v>
      </c>
      <c r="P291" s="117">
        <v>969</v>
      </c>
      <c r="Q291" s="117">
        <v>953</v>
      </c>
      <c r="R291" s="117">
        <v>965</v>
      </c>
      <c r="S291" s="120">
        <f t="shared" si="86"/>
        <v>1440</v>
      </c>
      <c r="T291" s="118">
        <f t="shared" si="98"/>
        <v>962.33333333333337</v>
      </c>
      <c r="U291" s="100">
        <f t="shared" si="88"/>
        <v>67</v>
      </c>
      <c r="V291" s="104">
        <v>381</v>
      </c>
      <c r="W291" s="104">
        <v>6902</v>
      </c>
      <c r="X291" s="104" t="s">
        <v>139</v>
      </c>
      <c r="Y291" s="104" t="s">
        <v>42</v>
      </c>
      <c r="Z291" s="1"/>
      <c r="AA291" s="1"/>
    </row>
    <row r="292" spans="1:27" s="49" customFormat="1" ht="16.5" customHeight="1" thickBot="1" x14ac:dyDescent="0.25">
      <c r="A292" s="84">
        <v>285</v>
      </c>
      <c r="B292" s="52" t="s">
        <v>35</v>
      </c>
      <c r="C292" s="41" t="s">
        <v>36</v>
      </c>
      <c r="D292" s="41" t="s">
        <v>37</v>
      </c>
      <c r="E292" s="41" t="s">
        <v>227</v>
      </c>
      <c r="F292" s="45" t="s">
        <v>258</v>
      </c>
      <c r="G292" s="42" t="s">
        <v>472</v>
      </c>
      <c r="H292" s="46" t="s">
        <v>26</v>
      </c>
      <c r="I292" s="62" t="s">
        <v>573</v>
      </c>
      <c r="J292" s="70">
        <v>2020</v>
      </c>
      <c r="K292" s="66" t="s">
        <v>28</v>
      </c>
      <c r="L292" s="41">
        <v>3</v>
      </c>
      <c r="M292" s="41"/>
      <c r="N292" s="47">
        <v>200</v>
      </c>
      <c r="O292" s="43">
        <f t="shared" si="85"/>
        <v>8.6666666666666714</v>
      </c>
      <c r="P292" s="47">
        <v>119</v>
      </c>
      <c r="Q292" s="47">
        <v>123</v>
      </c>
      <c r="R292" s="47">
        <v>134</v>
      </c>
      <c r="S292" s="48">
        <f t="shared" si="86"/>
        <v>288</v>
      </c>
      <c r="T292" s="43">
        <f t="shared" si="98"/>
        <v>125.33333333333333</v>
      </c>
      <c r="U292" s="44">
        <f t="shared" si="88"/>
        <v>44</v>
      </c>
      <c r="V292" s="45">
        <v>381</v>
      </c>
      <c r="W292" s="45">
        <v>6902</v>
      </c>
      <c r="X292" s="45" t="s">
        <v>139</v>
      </c>
      <c r="Y292" s="45" t="s">
        <v>42</v>
      </c>
      <c r="Z292" s="1">
        <f t="shared" si="89"/>
        <v>-3.5</v>
      </c>
      <c r="AA292" s="1">
        <f t="shared" si="84"/>
        <v>12.99038105676658</v>
      </c>
    </row>
    <row r="293" spans="1:27" s="49" customFormat="1" ht="16.5" customHeight="1" thickBot="1" x14ac:dyDescent="0.25">
      <c r="A293" s="84">
        <v>286</v>
      </c>
      <c r="B293" s="52" t="s">
        <v>35</v>
      </c>
      <c r="C293" s="41" t="s">
        <v>36</v>
      </c>
      <c r="D293" s="41" t="s">
        <v>37</v>
      </c>
      <c r="E293" s="41" t="s">
        <v>227</v>
      </c>
      <c r="F293" s="45" t="s">
        <v>260</v>
      </c>
      <c r="G293" s="42" t="s">
        <v>261</v>
      </c>
      <c r="H293" s="46" t="s">
        <v>23</v>
      </c>
      <c r="I293" s="63" t="s">
        <v>573</v>
      </c>
      <c r="J293" s="71">
        <v>1990</v>
      </c>
      <c r="K293" s="66" t="s">
        <v>25</v>
      </c>
      <c r="L293" s="41">
        <v>3</v>
      </c>
      <c r="M293" s="41">
        <v>4</v>
      </c>
      <c r="N293" s="47">
        <v>500</v>
      </c>
      <c r="O293" s="43">
        <f t="shared" si="85"/>
        <v>5.6666666666666856</v>
      </c>
      <c r="P293" s="47">
        <v>367</v>
      </c>
      <c r="Q293" s="47">
        <v>358</v>
      </c>
      <c r="R293" s="47">
        <v>371</v>
      </c>
      <c r="S293" s="48">
        <f t="shared" si="86"/>
        <v>720</v>
      </c>
      <c r="T293" s="43">
        <f t="shared" ref="T293:T300" si="99">(R293+Q293+P293)/3</f>
        <v>365.33333333333331</v>
      </c>
      <c r="U293" s="44">
        <f t="shared" si="88"/>
        <v>51</v>
      </c>
      <c r="V293" s="45">
        <v>382</v>
      </c>
      <c r="W293" s="45">
        <v>3650</v>
      </c>
      <c r="X293" s="45" t="s">
        <v>56</v>
      </c>
      <c r="Y293" s="45" t="s">
        <v>42</v>
      </c>
      <c r="Z293" s="1">
        <f t="shared" si="89"/>
        <v>-11</v>
      </c>
      <c r="AA293" s="1">
        <f t="shared" si="84"/>
        <v>3.4641016151377357</v>
      </c>
    </row>
    <row r="294" spans="1:27" s="49" customFormat="1" ht="16.5" customHeight="1" thickBot="1" x14ac:dyDescent="0.3">
      <c r="A294" s="84">
        <v>287</v>
      </c>
      <c r="B294" s="52" t="s">
        <v>35</v>
      </c>
      <c r="C294" s="41" t="s">
        <v>36</v>
      </c>
      <c r="D294" s="41" t="s">
        <v>37</v>
      </c>
      <c r="E294" s="41" t="s">
        <v>227</v>
      </c>
      <c r="F294" s="41" t="s">
        <v>260</v>
      </c>
      <c r="G294" s="42" t="s">
        <v>267</v>
      </c>
      <c r="H294" s="46" t="s">
        <v>23</v>
      </c>
      <c r="I294" s="62" t="s">
        <v>573</v>
      </c>
      <c r="J294" s="70">
        <v>2004</v>
      </c>
      <c r="K294" s="66" t="s">
        <v>28</v>
      </c>
      <c r="L294" s="41">
        <v>3</v>
      </c>
      <c r="M294" s="41"/>
      <c r="N294" s="47">
        <v>300</v>
      </c>
      <c r="O294" s="43">
        <f t="shared" si="85"/>
        <v>6.6666666666666572</v>
      </c>
      <c r="P294" s="57">
        <v>132</v>
      </c>
      <c r="Q294" s="57">
        <v>140</v>
      </c>
      <c r="R294" s="57">
        <v>128</v>
      </c>
      <c r="S294" s="48">
        <f t="shared" si="86"/>
        <v>432</v>
      </c>
      <c r="T294" s="43">
        <f t="shared" si="99"/>
        <v>133.33333333333334</v>
      </c>
      <c r="U294" s="44">
        <f t="shared" si="88"/>
        <v>31</v>
      </c>
      <c r="V294" s="45">
        <v>381</v>
      </c>
      <c r="W294" s="45">
        <v>3650</v>
      </c>
      <c r="X294" s="45" t="s">
        <v>56</v>
      </c>
      <c r="Y294" s="45" t="s">
        <v>42</v>
      </c>
      <c r="Z294" s="1"/>
      <c r="AA294" s="1"/>
    </row>
    <row r="295" spans="1:27" s="114" customFormat="1" ht="16.5" customHeight="1" thickBot="1" x14ac:dyDescent="0.3">
      <c r="A295" s="98">
        <v>288</v>
      </c>
      <c r="B295" s="102" t="s">
        <v>35</v>
      </c>
      <c r="C295" s="103" t="s">
        <v>36</v>
      </c>
      <c r="D295" s="103" t="s">
        <v>37</v>
      </c>
      <c r="E295" s="103" t="s">
        <v>227</v>
      </c>
      <c r="F295" s="104" t="s">
        <v>260</v>
      </c>
      <c r="G295" s="99" t="s">
        <v>262</v>
      </c>
      <c r="H295" s="115" t="s">
        <v>23</v>
      </c>
      <c r="I295" s="121"/>
      <c r="J295" s="122"/>
      <c r="K295" s="116" t="s">
        <v>25</v>
      </c>
      <c r="L295" s="103">
        <v>3</v>
      </c>
      <c r="M295" s="103">
        <v>4</v>
      </c>
      <c r="N295" s="117">
        <v>500</v>
      </c>
      <c r="O295" s="118">
        <f t="shared" si="85"/>
        <v>6.3333333333333144</v>
      </c>
      <c r="P295" s="119">
        <v>360</v>
      </c>
      <c r="Q295" s="119">
        <v>372</v>
      </c>
      <c r="R295" s="119">
        <v>365</v>
      </c>
      <c r="S295" s="120">
        <f t="shared" si="86"/>
        <v>720</v>
      </c>
      <c r="T295" s="118">
        <f t="shared" si="99"/>
        <v>365.66666666666669</v>
      </c>
      <c r="U295" s="100">
        <f t="shared" si="88"/>
        <v>51</v>
      </c>
      <c r="V295" s="104">
        <v>381</v>
      </c>
      <c r="W295" s="104">
        <v>3650</v>
      </c>
      <c r="X295" s="104" t="s">
        <v>56</v>
      </c>
      <c r="Y295" s="104" t="s">
        <v>42</v>
      </c>
      <c r="Z295" s="1">
        <f t="shared" si="89"/>
        <v>9.5</v>
      </c>
      <c r="AA295" s="1">
        <f t="shared" si="84"/>
        <v>4.3301270189221555</v>
      </c>
    </row>
    <row r="296" spans="1:27" s="114" customFormat="1" ht="16.5" customHeight="1" thickBot="1" x14ac:dyDescent="0.3">
      <c r="A296" s="98">
        <v>289</v>
      </c>
      <c r="B296" s="102" t="s">
        <v>35</v>
      </c>
      <c r="C296" s="103" t="s">
        <v>36</v>
      </c>
      <c r="D296" s="103" t="s">
        <v>37</v>
      </c>
      <c r="E296" s="103" t="s">
        <v>227</v>
      </c>
      <c r="F296" s="103" t="s">
        <v>260</v>
      </c>
      <c r="G296" s="99" t="s">
        <v>268</v>
      </c>
      <c r="H296" s="115" t="s">
        <v>23</v>
      </c>
      <c r="I296" s="126" t="s">
        <v>596</v>
      </c>
      <c r="J296" s="108">
        <v>2015</v>
      </c>
      <c r="K296" s="116" t="s">
        <v>28</v>
      </c>
      <c r="L296" s="103">
        <v>3</v>
      </c>
      <c r="M296" s="103"/>
      <c r="N296" s="117">
        <v>1500</v>
      </c>
      <c r="O296" s="118">
        <f t="shared" si="85"/>
        <v>5.6666666666666288</v>
      </c>
      <c r="P296" s="119">
        <v>662</v>
      </c>
      <c r="Q296" s="119">
        <v>672</v>
      </c>
      <c r="R296" s="119">
        <v>665</v>
      </c>
      <c r="S296" s="120">
        <f t="shared" si="86"/>
        <v>2160</v>
      </c>
      <c r="T296" s="118">
        <f t="shared" si="99"/>
        <v>666.33333333333337</v>
      </c>
      <c r="U296" s="100">
        <f t="shared" si="88"/>
        <v>31</v>
      </c>
      <c r="V296" s="104">
        <v>382</v>
      </c>
      <c r="W296" s="104">
        <v>3650</v>
      </c>
      <c r="X296" s="104" t="s">
        <v>56</v>
      </c>
      <c r="Y296" s="104" t="s">
        <v>42</v>
      </c>
      <c r="Z296" s="1"/>
      <c r="AA296" s="1"/>
    </row>
    <row r="297" spans="1:27" s="114" customFormat="1" ht="16.5" customHeight="1" thickBot="1" x14ac:dyDescent="0.3">
      <c r="A297" s="98">
        <v>290</v>
      </c>
      <c r="B297" s="102" t="s">
        <v>35</v>
      </c>
      <c r="C297" s="103" t="s">
        <v>36</v>
      </c>
      <c r="D297" s="103" t="s">
        <v>37</v>
      </c>
      <c r="E297" s="103" t="s">
        <v>227</v>
      </c>
      <c r="F297" s="104" t="s">
        <v>260</v>
      </c>
      <c r="G297" s="99" t="s">
        <v>263</v>
      </c>
      <c r="H297" s="115" t="s">
        <v>23</v>
      </c>
      <c r="I297" s="121" t="s">
        <v>591</v>
      </c>
      <c r="J297" s="122">
        <v>2019</v>
      </c>
      <c r="K297" s="116" t="s">
        <v>25</v>
      </c>
      <c r="L297" s="103">
        <v>3</v>
      </c>
      <c r="M297" s="103">
        <v>5</v>
      </c>
      <c r="N297" s="117">
        <v>800</v>
      </c>
      <c r="O297" s="118">
        <f t="shared" si="85"/>
        <v>5.6666666666666856</v>
      </c>
      <c r="P297" s="119">
        <v>422</v>
      </c>
      <c r="Q297" s="119">
        <v>425</v>
      </c>
      <c r="R297" s="119">
        <v>432</v>
      </c>
      <c r="S297" s="120">
        <f t="shared" si="86"/>
        <v>1152</v>
      </c>
      <c r="T297" s="118">
        <f t="shared" si="99"/>
        <v>426.33333333333331</v>
      </c>
      <c r="U297" s="100">
        <f t="shared" si="88"/>
        <v>37</v>
      </c>
      <c r="V297" s="104">
        <v>380</v>
      </c>
      <c r="W297" s="104">
        <v>3650</v>
      </c>
      <c r="X297" s="104" t="s">
        <v>56</v>
      </c>
      <c r="Y297" s="104" t="s">
        <v>42</v>
      </c>
      <c r="Z297" s="1">
        <f t="shared" si="89"/>
        <v>-2</v>
      </c>
      <c r="AA297" s="1">
        <f t="shared" si="84"/>
        <v>8.6602540378443678</v>
      </c>
    </row>
    <row r="298" spans="1:27" s="49" customFormat="1" ht="16.5" customHeight="1" thickBot="1" x14ac:dyDescent="0.3">
      <c r="A298" s="84">
        <v>291</v>
      </c>
      <c r="B298" s="52" t="s">
        <v>35</v>
      </c>
      <c r="C298" s="41" t="s">
        <v>36</v>
      </c>
      <c r="D298" s="41" t="s">
        <v>37</v>
      </c>
      <c r="E298" s="93" t="s">
        <v>227</v>
      </c>
      <c r="F298" s="93" t="s">
        <v>260</v>
      </c>
      <c r="G298" s="42" t="s">
        <v>264</v>
      </c>
      <c r="H298" s="46" t="s">
        <v>23</v>
      </c>
      <c r="I298" s="63"/>
      <c r="J298" s="71"/>
      <c r="K298" s="66" t="s">
        <v>25</v>
      </c>
      <c r="L298" s="41">
        <v>3</v>
      </c>
      <c r="M298" s="41">
        <v>1</v>
      </c>
      <c r="N298" s="47">
        <v>300</v>
      </c>
      <c r="O298" s="43">
        <f t="shared" si="85"/>
        <v>6.3333333333333428</v>
      </c>
      <c r="P298" s="57">
        <v>146</v>
      </c>
      <c r="Q298" s="57">
        <v>147</v>
      </c>
      <c r="R298" s="57">
        <v>156</v>
      </c>
      <c r="S298" s="48">
        <f t="shared" si="86"/>
        <v>432</v>
      </c>
      <c r="T298" s="43">
        <f t="shared" si="99"/>
        <v>149.66666666666666</v>
      </c>
      <c r="U298" s="44">
        <f t="shared" si="88"/>
        <v>35</v>
      </c>
      <c r="V298" s="45">
        <v>380</v>
      </c>
      <c r="W298" s="45">
        <v>3650</v>
      </c>
      <c r="X298" s="45" t="s">
        <v>56</v>
      </c>
      <c r="Y298" s="45" t="s">
        <v>42</v>
      </c>
      <c r="Z298" s="1">
        <f t="shared" si="89"/>
        <v>-4</v>
      </c>
      <c r="AA298" s="1">
        <f t="shared" si="84"/>
        <v>8.6602540378443962</v>
      </c>
    </row>
    <row r="299" spans="1:27" s="114" customFormat="1" ht="16.5" customHeight="1" thickBot="1" x14ac:dyDescent="0.25">
      <c r="A299" s="98">
        <v>292</v>
      </c>
      <c r="B299" s="102" t="s">
        <v>35</v>
      </c>
      <c r="C299" s="103" t="s">
        <v>36</v>
      </c>
      <c r="D299" s="103" t="s">
        <v>37</v>
      </c>
      <c r="E299" s="127" t="s">
        <v>227</v>
      </c>
      <c r="F299" s="127" t="s">
        <v>260</v>
      </c>
      <c r="G299" s="99" t="s">
        <v>265</v>
      </c>
      <c r="H299" s="115" t="s">
        <v>23</v>
      </c>
      <c r="I299" s="121"/>
      <c r="J299" s="122"/>
      <c r="K299" s="116" t="s">
        <v>25</v>
      </c>
      <c r="L299" s="103">
        <v>3</v>
      </c>
      <c r="M299" s="103">
        <v>4</v>
      </c>
      <c r="N299" s="117">
        <v>500</v>
      </c>
      <c r="O299" s="118">
        <f t="shared" si="85"/>
        <v>5.3333333333333144</v>
      </c>
      <c r="P299" s="117">
        <v>366</v>
      </c>
      <c r="Q299" s="117">
        <v>354</v>
      </c>
      <c r="R299" s="117">
        <v>362</v>
      </c>
      <c r="S299" s="120">
        <f t="shared" si="86"/>
        <v>720</v>
      </c>
      <c r="T299" s="118">
        <f t="shared" si="99"/>
        <v>360.66666666666669</v>
      </c>
      <c r="U299" s="100">
        <f t="shared" si="88"/>
        <v>50</v>
      </c>
      <c r="V299" s="104">
        <v>380</v>
      </c>
      <c r="W299" s="104">
        <v>3650</v>
      </c>
      <c r="X299" s="104" t="s">
        <v>56</v>
      </c>
      <c r="Y299" s="104" t="s">
        <v>42</v>
      </c>
      <c r="Z299" s="1">
        <f t="shared" si="89"/>
        <v>-10</v>
      </c>
      <c r="AA299" s="1">
        <f t="shared" si="84"/>
        <v>-3.4641016151377926</v>
      </c>
    </row>
    <row r="300" spans="1:27" s="49" customFormat="1" ht="16.5" customHeight="1" thickBot="1" x14ac:dyDescent="0.25">
      <c r="A300" s="84">
        <v>293</v>
      </c>
      <c r="B300" s="52" t="s">
        <v>35</v>
      </c>
      <c r="C300" s="41" t="s">
        <v>36</v>
      </c>
      <c r="D300" s="41" t="s">
        <v>37</v>
      </c>
      <c r="E300" s="41" t="s">
        <v>227</v>
      </c>
      <c r="F300" s="41" t="s">
        <v>260</v>
      </c>
      <c r="G300" s="42" t="s">
        <v>473</v>
      </c>
      <c r="H300" s="46" t="s">
        <v>26</v>
      </c>
      <c r="I300" s="63"/>
      <c r="J300" s="71"/>
      <c r="K300" s="66" t="s">
        <v>25</v>
      </c>
      <c r="L300" s="41">
        <v>3</v>
      </c>
      <c r="M300" s="41"/>
      <c r="N300" s="47">
        <v>300</v>
      </c>
      <c r="O300" s="43">
        <f t="shared" si="85"/>
        <v>12</v>
      </c>
      <c r="P300" s="47">
        <v>182</v>
      </c>
      <c r="Q300" s="47">
        <v>204</v>
      </c>
      <c r="R300" s="47">
        <v>190</v>
      </c>
      <c r="S300" s="48">
        <f t="shared" si="86"/>
        <v>432</v>
      </c>
      <c r="T300" s="43">
        <f t="shared" si="99"/>
        <v>192</v>
      </c>
      <c r="U300" s="44">
        <f t="shared" si="88"/>
        <v>44</v>
      </c>
      <c r="V300" s="45">
        <v>380</v>
      </c>
      <c r="W300" s="45">
        <v>3650</v>
      </c>
      <c r="X300" s="45" t="s">
        <v>56</v>
      </c>
      <c r="Y300" s="45" t="s">
        <v>42</v>
      </c>
      <c r="Z300" s="1"/>
      <c r="AA300" s="1"/>
    </row>
    <row r="301" spans="1:27" s="49" customFormat="1" ht="16.5" customHeight="1" thickBot="1" x14ac:dyDescent="0.3">
      <c r="A301" s="84">
        <v>294</v>
      </c>
      <c r="B301" s="52" t="s">
        <v>35</v>
      </c>
      <c r="C301" s="41" t="s">
        <v>36</v>
      </c>
      <c r="D301" s="41" t="s">
        <v>37</v>
      </c>
      <c r="E301" s="41" t="s">
        <v>227</v>
      </c>
      <c r="F301" s="41" t="s">
        <v>260</v>
      </c>
      <c r="G301" s="42" t="s">
        <v>266</v>
      </c>
      <c r="H301" s="46" t="s">
        <v>23</v>
      </c>
      <c r="I301" s="62"/>
      <c r="J301" s="70"/>
      <c r="K301" s="66" t="s">
        <v>28</v>
      </c>
      <c r="L301" s="41">
        <v>3</v>
      </c>
      <c r="M301" s="41">
        <v>4</v>
      </c>
      <c r="N301" s="47">
        <v>500</v>
      </c>
      <c r="O301" s="43">
        <f t="shared" si="85"/>
        <v>6.6666666666666856</v>
      </c>
      <c r="P301" s="57">
        <v>312</v>
      </c>
      <c r="Q301" s="57">
        <v>299</v>
      </c>
      <c r="R301" s="57">
        <v>305</v>
      </c>
      <c r="S301" s="48">
        <f t="shared" si="86"/>
        <v>720</v>
      </c>
      <c r="T301" s="43">
        <f t="shared" ref="T301:T311" si="100">(R301+Q301+P301)/3</f>
        <v>305.33333333333331</v>
      </c>
      <c r="U301" s="44">
        <f t="shared" si="88"/>
        <v>42</v>
      </c>
      <c r="V301" s="45">
        <v>381</v>
      </c>
      <c r="W301" s="45">
        <v>3650</v>
      </c>
      <c r="X301" s="45" t="s">
        <v>56</v>
      </c>
      <c r="Y301" s="45" t="s">
        <v>42</v>
      </c>
      <c r="Z301" s="1">
        <f t="shared" si="89"/>
        <v>-9.5</v>
      </c>
      <c r="AA301" s="1">
        <f t="shared" si="84"/>
        <v>-6.0621778264911086</v>
      </c>
    </row>
    <row r="302" spans="1:27" s="114" customFormat="1" ht="16.5" customHeight="1" thickBot="1" x14ac:dyDescent="0.3">
      <c r="A302" s="98">
        <v>295</v>
      </c>
      <c r="B302" s="102" t="s">
        <v>35</v>
      </c>
      <c r="C302" s="103" t="s">
        <v>36</v>
      </c>
      <c r="D302" s="103" t="s">
        <v>37</v>
      </c>
      <c r="E302" s="103" t="s">
        <v>227</v>
      </c>
      <c r="F302" s="103" t="s">
        <v>271</v>
      </c>
      <c r="G302" s="99" t="s">
        <v>271</v>
      </c>
      <c r="H302" s="115" t="s">
        <v>23</v>
      </c>
      <c r="I302" s="121" t="s">
        <v>573</v>
      </c>
      <c r="J302" s="122">
        <v>2020</v>
      </c>
      <c r="K302" s="116" t="s">
        <v>25</v>
      </c>
      <c r="L302" s="103">
        <v>3</v>
      </c>
      <c r="M302" s="117">
        <v>5</v>
      </c>
      <c r="N302" s="117">
        <v>1000</v>
      </c>
      <c r="O302" s="118">
        <f t="shared" si="85"/>
        <v>5</v>
      </c>
      <c r="P302" s="119">
        <v>504</v>
      </c>
      <c r="Q302" s="119">
        <v>513</v>
      </c>
      <c r="R302" s="119">
        <v>507</v>
      </c>
      <c r="S302" s="120">
        <f t="shared" si="86"/>
        <v>1440</v>
      </c>
      <c r="T302" s="118">
        <f t="shared" si="100"/>
        <v>508</v>
      </c>
      <c r="U302" s="100">
        <f t="shared" si="88"/>
        <v>35</v>
      </c>
      <c r="V302" s="104">
        <v>381</v>
      </c>
      <c r="W302" s="104">
        <v>3450</v>
      </c>
      <c r="X302" s="104" t="s">
        <v>56</v>
      </c>
      <c r="Y302" s="104" t="s">
        <v>42</v>
      </c>
      <c r="Z302" s="1">
        <f t="shared" si="89"/>
        <v>7.5</v>
      </c>
      <c r="AA302" s="1">
        <f t="shared" si="84"/>
        <v>2.598076211353316</v>
      </c>
    </row>
    <row r="303" spans="1:27" s="114" customFormat="1" ht="16.5" customHeight="1" thickBot="1" x14ac:dyDescent="0.3">
      <c r="A303" s="98">
        <v>296</v>
      </c>
      <c r="B303" s="102" t="s">
        <v>35</v>
      </c>
      <c r="C303" s="103" t="s">
        <v>36</v>
      </c>
      <c r="D303" s="103" t="s">
        <v>37</v>
      </c>
      <c r="E303" s="103" t="s">
        <v>227</v>
      </c>
      <c r="F303" s="103" t="s">
        <v>271</v>
      </c>
      <c r="G303" s="99" t="s">
        <v>272</v>
      </c>
      <c r="H303" s="115" t="s">
        <v>23</v>
      </c>
      <c r="I303" s="121" t="s">
        <v>591</v>
      </c>
      <c r="J303" s="122">
        <v>2012</v>
      </c>
      <c r="K303" s="116" t="s">
        <v>25</v>
      </c>
      <c r="L303" s="103">
        <v>3</v>
      </c>
      <c r="M303" s="117">
        <v>4</v>
      </c>
      <c r="N303" s="117">
        <v>1000</v>
      </c>
      <c r="O303" s="118">
        <f t="shared" si="85"/>
        <v>5.6666666666666856</v>
      </c>
      <c r="P303" s="119">
        <v>470</v>
      </c>
      <c r="Q303" s="119">
        <v>465</v>
      </c>
      <c r="R303" s="119">
        <v>476</v>
      </c>
      <c r="S303" s="120">
        <f t="shared" si="86"/>
        <v>1440</v>
      </c>
      <c r="T303" s="118">
        <f t="shared" si="100"/>
        <v>470.33333333333331</v>
      </c>
      <c r="U303" s="100">
        <f t="shared" si="88"/>
        <v>33</v>
      </c>
      <c r="V303" s="104">
        <v>380</v>
      </c>
      <c r="W303" s="104">
        <v>3450</v>
      </c>
      <c r="X303" s="104" t="s">
        <v>56</v>
      </c>
      <c r="Y303" s="104" t="s">
        <v>42</v>
      </c>
      <c r="Z303" s="1">
        <f t="shared" si="89"/>
        <v>-8</v>
      </c>
      <c r="AA303" s="1">
        <f t="shared" si="84"/>
        <v>5.196152422706632</v>
      </c>
    </row>
    <row r="304" spans="1:27" s="114" customFormat="1" ht="16.5" customHeight="1" thickBot="1" x14ac:dyDescent="0.3">
      <c r="A304" s="98">
        <v>297</v>
      </c>
      <c r="B304" s="102" t="s">
        <v>35</v>
      </c>
      <c r="C304" s="103" t="s">
        <v>36</v>
      </c>
      <c r="D304" s="103" t="s">
        <v>37</v>
      </c>
      <c r="E304" s="103" t="s">
        <v>227</v>
      </c>
      <c r="F304" s="103" t="s">
        <v>271</v>
      </c>
      <c r="G304" s="99" t="s">
        <v>273</v>
      </c>
      <c r="H304" s="115" t="s">
        <v>23</v>
      </c>
      <c r="I304" s="121" t="s">
        <v>591</v>
      </c>
      <c r="J304" s="122">
        <v>2012</v>
      </c>
      <c r="K304" s="116" t="s">
        <v>25</v>
      </c>
      <c r="L304" s="103">
        <v>3</v>
      </c>
      <c r="M304" s="117">
        <v>4</v>
      </c>
      <c r="N304" s="117">
        <v>1000</v>
      </c>
      <c r="O304" s="118">
        <f t="shared" si="85"/>
        <v>6.3333333333333144</v>
      </c>
      <c r="P304" s="119">
        <v>479</v>
      </c>
      <c r="Q304" s="119">
        <v>484</v>
      </c>
      <c r="R304" s="119">
        <v>491</v>
      </c>
      <c r="S304" s="120">
        <f t="shared" si="86"/>
        <v>1440</v>
      </c>
      <c r="T304" s="118">
        <f t="shared" si="100"/>
        <v>484.66666666666669</v>
      </c>
      <c r="U304" s="100">
        <f t="shared" si="88"/>
        <v>34</v>
      </c>
      <c r="V304" s="104">
        <v>381</v>
      </c>
      <c r="W304" s="104">
        <v>3450</v>
      </c>
      <c r="X304" s="104" t="s">
        <v>56</v>
      </c>
      <c r="Y304" s="104" t="s">
        <v>42</v>
      </c>
      <c r="Z304" s="1">
        <f t="shared" si="89"/>
        <v>-1</v>
      </c>
      <c r="AA304" s="1">
        <f t="shared" si="84"/>
        <v>10.392304845413264</v>
      </c>
    </row>
    <row r="305" spans="1:27" s="49" customFormat="1" ht="16.5" customHeight="1" thickBot="1" x14ac:dyDescent="0.3">
      <c r="A305" s="84">
        <v>298</v>
      </c>
      <c r="B305" s="52" t="s">
        <v>35</v>
      </c>
      <c r="C305" s="41" t="s">
        <v>36</v>
      </c>
      <c r="D305" s="41" t="s">
        <v>37</v>
      </c>
      <c r="E305" s="41" t="s">
        <v>227</v>
      </c>
      <c r="F305" s="41" t="s">
        <v>271</v>
      </c>
      <c r="G305" s="42" t="s">
        <v>278</v>
      </c>
      <c r="H305" s="46" t="s">
        <v>23</v>
      </c>
      <c r="I305" s="74" t="s">
        <v>593</v>
      </c>
      <c r="J305" s="70">
        <v>2013</v>
      </c>
      <c r="K305" s="66" t="s">
        <v>28</v>
      </c>
      <c r="L305" s="41">
        <v>3</v>
      </c>
      <c r="M305" s="47"/>
      <c r="N305" s="47">
        <v>100</v>
      </c>
      <c r="O305" s="43">
        <f t="shared" si="85"/>
        <v>6.3333333333333357</v>
      </c>
      <c r="P305" s="57">
        <v>56</v>
      </c>
      <c r="Q305" s="57">
        <v>67</v>
      </c>
      <c r="R305" s="57">
        <v>59</v>
      </c>
      <c r="S305" s="48">
        <f t="shared" si="86"/>
        <v>144</v>
      </c>
      <c r="T305" s="43">
        <f t="shared" si="100"/>
        <v>60.666666666666664</v>
      </c>
      <c r="U305" s="44">
        <f t="shared" si="88"/>
        <v>42</v>
      </c>
      <c r="V305" s="45">
        <v>381</v>
      </c>
      <c r="W305" s="45">
        <v>3450</v>
      </c>
      <c r="X305" s="45" t="s">
        <v>56</v>
      </c>
      <c r="Y305" s="45" t="s">
        <v>42</v>
      </c>
      <c r="Z305" s="1"/>
      <c r="AA305" s="1"/>
    </row>
    <row r="306" spans="1:27" s="49" customFormat="1" ht="16.5" customHeight="1" thickBot="1" x14ac:dyDescent="0.3">
      <c r="A306" s="84">
        <v>299</v>
      </c>
      <c r="B306" s="52" t="s">
        <v>35</v>
      </c>
      <c r="C306" s="41" t="s">
        <v>36</v>
      </c>
      <c r="D306" s="41" t="s">
        <v>37</v>
      </c>
      <c r="E306" s="41" t="s">
        <v>227</v>
      </c>
      <c r="F306" s="41" t="s">
        <v>271</v>
      </c>
      <c r="G306" s="42" t="s">
        <v>274</v>
      </c>
      <c r="H306" s="46" t="s">
        <v>23</v>
      </c>
      <c r="I306" s="63" t="s">
        <v>573</v>
      </c>
      <c r="J306" s="71">
        <v>2007</v>
      </c>
      <c r="K306" s="66" t="s">
        <v>25</v>
      </c>
      <c r="L306" s="41">
        <v>3</v>
      </c>
      <c r="M306" s="47">
        <v>3</v>
      </c>
      <c r="N306" s="47">
        <v>800</v>
      </c>
      <c r="O306" s="43">
        <f t="shared" si="85"/>
        <v>6</v>
      </c>
      <c r="P306" s="57">
        <v>420</v>
      </c>
      <c r="Q306" s="57">
        <v>409</v>
      </c>
      <c r="R306" s="57">
        <v>413</v>
      </c>
      <c r="S306" s="48">
        <f t="shared" si="86"/>
        <v>1152</v>
      </c>
      <c r="T306" s="43">
        <f t="shared" si="100"/>
        <v>414</v>
      </c>
      <c r="U306" s="44">
        <f t="shared" si="88"/>
        <v>36</v>
      </c>
      <c r="V306" s="45">
        <v>382</v>
      </c>
      <c r="W306" s="45">
        <v>3450</v>
      </c>
      <c r="X306" s="45" t="s">
        <v>56</v>
      </c>
      <c r="Y306" s="45" t="s">
        <v>42</v>
      </c>
      <c r="Z306" s="1">
        <f t="shared" si="89"/>
        <v>-7.5</v>
      </c>
      <c r="AA306" s="1">
        <f t="shared" si="84"/>
        <v>-6.0621778264910517</v>
      </c>
    </row>
    <row r="307" spans="1:27" s="49" customFormat="1" ht="16.5" customHeight="1" thickBot="1" x14ac:dyDescent="0.3">
      <c r="A307" s="84">
        <v>300</v>
      </c>
      <c r="B307" s="52" t="s">
        <v>35</v>
      </c>
      <c r="C307" s="41" t="s">
        <v>36</v>
      </c>
      <c r="D307" s="41" t="s">
        <v>37</v>
      </c>
      <c r="E307" s="41" t="s">
        <v>227</v>
      </c>
      <c r="F307" s="41" t="s">
        <v>271</v>
      </c>
      <c r="G307" s="42" t="s">
        <v>275</v>
      </c>
      <c r="H307" s="46" t="s">
        <v>23</v>
      </c>
      <c r="I307" s="63"/>
      <c r="J307" s="71"/>
      <c r="K307" s="66" t="s">
        <v>25</v>
      </c>
      <c r="L307" s="41">
        <v>3</v>
      </c>
      <c r="M307" s="47">
        <v>3</v>
      </c>
      <c r="N307" s="47">
        <v>500</v>
      </c>
      <c r="O307" s="43">
        <f t="shared" si="85"/>
        <v>7.3333333333333144</v>
      </c>
      <c r="P307" s="57">
        <v>370</v>
      </c>
      <c r="Q307" s="57">
        <v>362</v>
      </c>
      <c r="R307" s="57">
        <v>356</v>
      </c>
      <c r="S307" s="48">
        <f t="shared" si="86"/>
        <v>720</v>
      </c>
      <c r="T307" s="43">
        <f t="shared" si="100"/>
        <v>362.66666666666669</v>
      </c>
      <c r="U307" s="44">
        <f t="shared" si="88"/>
        <v>50</v>
      </c>
      <c r="V307" s="45">
        <v>380</v>
      </c>
      <c r="W307" s="45">
        <v>3450</v>
      </c>
      <c r="X307" s="45" t="s">
        <v>56</v>
      </c>
      <c r="Y307" s="45" t="s">
        <v>42</v>
      </c>
      <c r="Z307" s="1">
        <f t="shared" si="89"/>
        <v>-1</v>
      </c>
      <c r="AA307" s="1">
        <f t="shared" si="84"/>
        <v>-12.12435565298216</v>
      </c>
    </row>
    <row r="308" spans="1:27" s="49" customFormat="1" ht="16.5" customHeight="1" thickBot="1" x14ac:dyDescent="0.25">
      <c r="A308" s="84">
        <v>301</v>
      </c>
      <c r="B308" s="52" t="s">
        <v>35</v>
      </c>
      <c r="C308" s="41" t="s">
        <v>36</v>
      </c>
      <c r="D308" s="41" t="s">
        <v>37</v>
      </c>
      <c r="E308" s="41" t="s">
        <v>227</v>
      </c>
      <c r="F308" s="41" t="s">
        <v>271</v>
      </c>
      <c r="G308" s="42" t="s">
        <v>276</v>
      </c>
      <c r="H308" s="46" t="s">
        <v>23</v>
      </c>
      <c r="I308" s="63"/>
      <c r="J308" s="71"/>
      <c r="K308" s="66" t="s">
        <v>25</v>
      </c>
      <c r="L308" s="41">
        <v>3</v>
      </c>
      <c r="M308" s="47">
        <v>3</v>
      </c>
      <c r="N308" s="47">
        <v>500</v>
      </c>
      <c r="O308" s="43">
        <f t="shared" si="85"/>
        <v>5.6666666666666856</v>
      </c>
      <c r="P308" s="47">
        <v>289</v>
      </c>
      <c r="Q308" s="47">
        <v>275</v>
      </c>
      <c r="R308" s="47">
        <v>286</v>
      </c>
      <c r="S308" s="48">
        <f t="shared" si="86"/>
        <v>720</v>
      </c>
      <c r="T308" s="43">
        <f t="shared" si="100"/>
        <v>283.33333333333331</v>
      </c>
      <c r="U308" s="44">
        <f t="shared" si="88"/>
        <v>39</v>
      </c>
      <c r="V308" s="45">
        <v>380</v>
      </c>
      <c r="W308" s="45">
        <v>3450</v>
      </c>
      <c r="X308" s="45" t="s">
        <v>56</v>
      </c>
      <c r="Y308" s="45" t="s">
        <v>42</v>
      </c>
      <c r="Z308" s="1">
        <f t="shared" si="89"/>
        <v>-12.5</v>
      </c>
      <c r="AA308" s="1">
        <f t="shared" si="84"/>
        <v>-2.598076211353316</v>
      </c>
    </row>
    <row r="309" spans="1:27" s="49" customFormat="1" ht="16.5" customHeight="1" thickBot="1" x14ac:dyDescent="0.25">
      <c r="A309" s="84">
        <v>302</v>
      </c>
      <c r="B309" s="52" t="s">
        <v>35</v>
      </c>
      <c r="C309" s="41" t="s">
        <v>36</v>
      </c>
      <c r="D309" s="41" t="s">
        <v>37</v>
      </c>
      <c r="E309" s="41" t="s">
        <v>227</v>
      </c>
      <c r="F309" s="41" t="s">
        <v>271</v>
      </c>
      <c r="G309" s="42" t="s">
        <v>277</v>
      </c>
      <c r="H309" s="46" t="s">
        <v>23</v>
      </c>
      <c r="I309" s="63" t="s">
        <v>591</v>
      </c>
      <c r="J309" s="71">
        <v>2002</v>
      </c>
      <c r="K309" s="66" t="s">
        <v>25</v>
      </c>
      <c r="L309" s="41">
        <v>3</v>
      </c>
      <c r="M309" s="47">
        <v>4</v>
      </c>
      <c r="N309" s="47">
        <v>500</v>
      </c>
      <c r="O309" s="43">
        <f t="shared" si="85"/>
        <v>6</v>
      </c>
      <c r="P309" s="47">
        <v>358</v>
      </c>
      <c r="Q309" s="47">
        <v>346</v>
      </c>
      <c r="R309" s="47">
        <v>352</v>
      </c>
      <c r="S309" s="48">
        <f t="shared" si="86"/>
        <v>720</v>
      </c>
      <c r="T309" s="43">
        <f t="shared" si="100"/>
        <v>352</v>
      </c>
      <c r="U309" s="44">
        <f t="shared" si="88"/>
        <v>49</v>
      </c>
      <c r="V309" s="45">
        <v>381</v>
      </c>
      <c r="W309" s="45">
        <v>3450</v>
      </c>
      <c r="X309" s="45" t="s">
        <v>56</v>
      </c>
      <c r="Y309" s="45" t="s">
        <v>42</v>
      </c>
      <c r="Z309" s="1">
        <f t="shared" si="89"/>
        <v>-9</v>
      </c>
      <c r="AA309" s="1">
        <f t="shared" si="84"/>
        <v>-5.196152422706632</v>
      </c>
    </row>
    <row r="310" spans="1:27" s="49" customFormat="1" ht="16.5" customHeight="1" thickBot="1" x14ac:dyDescent="0.25">
      <c r="A310" s="84">
        <v>303</v>
      </c>
      <c r="B310" s="52" t="s">
        <v>35</v>
      </c>
      <c r="C310" s="41" t="s">
        <v>36</v>
      </c>
      <c r="D310" s="41" t="s">
        <v>37</v>
      </c>
      <c r="E310" s="41" t="s">
        <v>227</v>
      </c>
      <c r="F310" s="41" t="s">
        <v>279</v>
      </c>
      <c r="G310" s="42" t="s">
        <v>474</v>
      </c>
      <c r="H310" s="46" t="s">
        <v>26</v>
      </c>
      <c r="I310" s="62"/>
      <c r="J310" s="70"/>
      <c r="K310" s="66" t="s">
        <v>28</v>
      </c>
      <c r="L310" s="41">
        <v>3</v>
      </c>
      <c r="M310" s="47"/>
      <c r="N310" s="47">
        <v>1000</v>
      </c>
      <c r="O310" s="43">
        <f t="shared" si="85"/>
        <v>4</v>
      </c>
      <c r="P310" s="47">
        <v>595</v>
      </c>
      <c r="Q310" s="47">
        <v>603</v>
      </c>
      <c r="R310" s="47">
        <v>605</v>
      </c>
      <c r="S310" s="48">
        <f t="shared" si="86"/>
        <v>1440</v>
      </c>
      <c r="T310" s="43">
        <f t="shared" si="100"/>
        <v>601</v>
      </c>
      <c r="U310" s="44">
        <f t="shared" si="88"/>
        <v>42</v>
      </c>
      <c r="V310" s="45">
        <v>382</v>
      </c>
      <c r="W310" s="45">
        <v>3450</v>
      </c>
      <c r="X310" s="45" t="s">
        <v>56</v>
      </c>
      <c r="Y310" s="45" t="s">
        <v>42</v>
      </c>
      <c r="Z310" s="1">
        <f t="shared" si="89"/>
        <v>3</v>
      </c>
      <c r="AA310" s="1">
        <f t="shared" si="84"/>
        <v>8.6602540378443109</v>
      </c>
    </row>
    <row r="311" spans="1:27" s="49" customFormat="1" ht="16.5" customHeight="1" thickBot="1" x14ac:dyDescent="0.25">
      <c r="A311" s="84">
        <v>304</v>
      </c>
      <c r="B311" s="52" t="s">
        <v>35</v>
      </c>
      <c r="C311" s="41" t="s">
        <v>36</v>
      </c>
      <c r="D311" s="41" t="s">
        <v>37</v>
      </c>
      <c r="E311" s="41" t="s">
        <v>227</v>
      </c>
      <c r="F311" s="41" t="s">
        <v>279</v>
      </c>
      <c r="G311" s="42" t="s">
        <v>475</v>
      </c>
      <c r="H311" s="46" t="s">
        <v>26</v>
      </c>
      <c r="I311" s="62"/>
      <c r="J311" s="70"/>
      <c r="K311" s="66" t="s">
        <v>28</v>
      </c>
      <c r="L311" s="41">
        <v>3</v>
      </c>
      <c r="M311" s="47"/>
      <c r="N311" s="47">
        <v>1000</v>
      </c>
      <c r="O311" s="43">
        <f t="shared" si="85"/>
        <v>8.3333333333333712</v>
      </c>
      <c r="P311" s="47">
        <v>610</v>
      </c>
      <c r="Q311" s="47">
        <v>621</v>
      </c>
      <c r="R311" s="47">
        <v>607</v>
      </c>
      <c r="S311" s="48">
        <f t="shared" si="86"/>
        <v>1440</v>
      </c>
      <c r="T311" s="43">
        <f t="shared" si="100"/>
        <v>612.66666666666663</v>
      </c>
      <c r="U311" s="44">
        <f t="shared" si="88"/>
        <v>43</v>
      </c>
      <c r="V311" s="45">
        <v>381</v>
      </c>
      <c r="W311" s="45">
        <v>3450</v>
      </c>
      <c r="X311" s="45" t="s">
        <v>56</v>
      </c>
      <c r="Y311" s="45" t="s">
        <v>42</v>
      </c>
      <c r="Z311" s="1">
        <f t="shared" si="89"/>
        <v>12.5</v>
      </c>
      <c r="AA311" s="1">
        <f t="shared" si="84"/>
        <v>-2.5980762113532592</v>
      </c>
    </row>
    <row r="312" spans="1:27" s="114" customFormat="1" ht="16.5" customHeight="1" thickBot="1" x14ac:dyDescent="0.25">
      <c r="A312" s="98">
        <v>305</v>
      </c>
      <c r="B312" s="102" t="s">
        <v>35</v>
      </c>
      <c r="C312" s="103" t="s">
        <v>36</v>
      </c>
      <c r="D312" s="103" t="s">
        <v>37</v>
      </c>
      <c r="E312" s="103" t="s">
        <v>227</v>
      </c>
      <c r="F312" s="103" t="s">
        <v>279</v>
      </c>
      <c r="G312" s="99" t="s">
        <v>283</v>
      </c>
      <c r="H312" s="115" t="s">
        <v>23</v>
      </c>
      <c r="I312" s="107"/>
      <c r="J312" s="108"/>
      <c r="K312" s="116" t="s">
        <v>28</v>
      </c>
      <c r="L312" s="103">
        <v>3</v>
      </c>
      <c r="M312" s="117"/>
      <c r="N312" s="117">
        <v>1000</v>
      </c>
      <c r="O312" s="118">
        <f t="shared" si="85"/>
        <v>7.3333333333333144</v>
      </c>
      <c r="P312" s="117">
        <v>471</v>
      </c>
      <c r="Q312" s="117">
        <v>452</v>
      </c>
      <c r="R312" s="117">
        <v>468</v>
      </c>
      <c r="S312" s="120">
        <f t="shared" si="86"/>
        <v>1440</v>
      </c>
      <c r="T312" s="118">
        <f t="shared" ref="T312:T322" si="101">(R312+Q312+P312)/3</f>
        <v>463.66666666666669</v>
      </c>
      <c r="U312" s="100">
        <f t="shared" si="88"/>
        <v>32</v>
      </c>
      <c r="V312" s="104">
        <v>380</v>
      </c>
      <c r="W312" s="104">
        <v>3450</v>
      </c>
      <c r="X312" s="104" t="s">
        <v>56</v>
      </c>
      <c r="Y312" s="104" t="s">
        <v>42</v>
      </c>
      <c r="Z312" s="1">
        <f t="shared" si="89"/>
        <v>-17.5</v>
      </c>
      <c r="AA312" s="1">
        <f t="shared" si="84"/>
        <v>-2.598076211353316</v>
      </c>
    </row>
    <row r="313" spans="1:27" s="49" customFormat="1" ht="16.5" customHeight="1" thickBot="1" x14ac:dyDescent="0.25">
      <c r="A313" s="84">
        <v>306</v>
      </c>
      <c r="B313" s="52" t="s">
        <v>35</v>
      </c>
      <c r="C313" s="41" t="s">
        <v>36</v>
      </c>
      <c r="D313" s="41" t="s">
        <v>37</v>
      </c>
      <c r="E313" s="41" t="s">
        <v>227</v>
      </c>
      <c r="F313" s="41" t="s">
        <v>279</v>
      </c>
      <c r="G313" s="42" t="s">
        <v>280</v>
      </c>
      <c r="H313" s="46" t="s">
        <v>23</v>
      </c>
      <c r="I313" s="63" t="s">
        <v>591</v>
      </c>
      <c r="J313" s="71">
        <v>2012</v>
      </c>
      <c r="K313" s="66" t="s">
        <v>25</v>
      </c>
      <c r="L313" s="41">
        <v>3</v>
      </c>
      <c r="M313" s="47">
        <v>3</v>
      </c>
      <c r="N313" s="47">
        <v>1000</v>
      </c>
      <c r="O313" s="43">
        <f t="shared" si="85"/>
        <v>6.3333333333333144</v>
      </c>
      <c r="P313" s="47">
        <v>478</v>
      </c>
      <c r="Q313" s="47">
        <v>485</v>
      </c>
      <c r="R313" s="47">
        <v>473</v>
      </c>
      <c r="S313" s="48">
        <f t="shared" si="86"/>
        <v>1440</v>
      </c>
      <c r="T313" s="43">
        <f t="shared" si="101"/>
        <v>478.66666666666669</v>
      </c>
      <c r="U313" s="44">
        <f t="shared" si="88"/>
        <v>33</v>
      </c>
      <c r="V313" s="45">
        <v>381</v>
      </c>
      <c r="W313" s="45">
        <v>3450</v>
      </c>
      <c r="X313" s="45" t="s">
        <v>56</v>
      </c>
      <c r="Y313" s="45" t="s">
        <v>42</v>
      </c>
      <c r="Z313" s="1">
        <f t="shared" si="89"/>
        <v>9.5</v>
      </c>
      <c r="AA313" s="1">
        <f t="shared" si="84"/>
        <v>-4.3301270189222123</v>
      </c>
    </row>
    <row r="314" spans="1:27" s="49" customFormat="1" ht="16.5" customHeight="1" thickBot="1" x14ac:dyDescent="0.25">
      <c r="A314" s="84">
        <v>307</v>
      </c>
      <c r="B314" s="52" t="s">
        <v>35</v>
      </c>
      <c r="C314" s="41" t="s">
        <v>36</v>
      </c>
      <c r="D314" s="41" t="s">
        <v>37</v>
      </c>
      <c r="E314" s="41" t="s">
        <v>227</v>
      </c>
      <c r="F314" s="41" t="s">
        <v>279</v>
      </c>
      <c r="G314" s="42" t="s">
        <v>281</v>
      </c>
      <c r="H314" s="46" t="s">
        <v>23</v>
      </c>
      <c r="I314" s="63" t="s">
        <v>573</v>
      </c>
      <c r="J314" s="71">
        <v>1988</v>
      </c>
      <c r="K314" s="66" t="s">
        <v>25</v>
      </c>
      <c r="L314" s="41">
        <v>3</v>
      </c>
      <c r="M314" s="47">
        <v>4</v>
      </c>
      <c r="N314" s="47">
        <v>500</v>
      </c>
      <c r="O314" s="43">
        <f t="shared" si="85"/>
        <v>6.6666666666666572</v>
      </c>
      <c r="P314" s="47">
        <v>229</v>
      </c>
      <c r="Q314" s="47">
        <v>241</v>
      </c>
      <c r="R314" s="47">
        <v>233</v>
      </c>
      <c r="S314" s="48">
        <f t="shared" si="86"/>
        <v>720</v>
      </c>
      <c r="T314" s="43">
        <f t="shared" si="101"/>
        <v>234.33333333333334</v>
      </c>
      <c r="U314" s="44">
        <f t="shared" si="88"/>
        <v>33</v>
      </c>
      <c r="V314" s="45">
        <v>381</v>
      </c>
      <c r="W314" s="45">
        <v>3450</v>
      </c>
      <c r="X314" s="45" t="s">
        <v>56</v>
      </c>
      <c r="Y314" s="45" t="s">
        <v>42</v>
      </c>
      <c r="Z314" s="1">
        <f t="shared" si="89"/>
        <v>10</v>
      </c>
      <c r="AA314" s="1">
        <f t="shared" si="84"/>
        <v>3.4641016151377642</v>
      </c>
    </row>
    <row r="315" spans="1:27" s="49" customFormat="1" ht="16.5" customHeight="1" thickBot="1" x14ac:dyDescent="0.25">
      <c r="A315" s="84">
        <v>308</v>
      </c>
      <c r="B315" s="52" t="s">
        <v>35</v>
      </c>
      <c r="C315" s="41" t="s">
        <v>36</v>
      </c>
      <c r="D315" s="41" t="s">
        <v>37</v>
      </c>
      <c r="E315" s="41" t="s">
        <v>227</v>
      </c>
      <c r="F315" s="41" t="s">
        <v>279</v>
      </c>
      <c r="G315" s="42" t="s">
        <v>586</v>
      </c>
      <c r="H315" s="46" t="s">
        <v>23</v>
      </c>
      <c r="I315" s="76" t="s">
        <v>593</v>
      </c>
      <c r="J315" s="71">
        <v>2024</v>
      </c>
      <c r="K315" s="66" t="s">
        <v>28</v>
      </c>
      <c r="L315" s="41">
        <v>1</v>
      </c>
      <c r="M315" s="47"/>
      <c r="N315" s="47">
        <v>800</v>
      </c>
      <c r="O315" s="43">
        <f t="shared" si="85"/>
        <v>5.3333333333333144</v>
      </c>
      <c r="P315" s="47">
        <v>362</v>
      </c>
      <c r="Q315" s="47">
        <v>350</v>
      </c>
      <c r="R315" s="47">
        <v>358</v>
      </c>
      <c r="S315" s="48">
        <f t="shared" si="86"/>
        <v>1152</v>
      </c>
      <c r="T315" s="43">
        <f t="shared" si="101"/>
        <v>356.66666666666669</v>
      </c>
      <c r="U315" s="44">
        <f t="shared" si="88"/>
        <v>31</v>
      </c>
      <c r="V315" s="45">
        <v>381</v>
      </c>
      <c r="W315" s="45">
        <v>3450</v>
      </c>
      <c r="X315" s="45" t="s">
        <v>56</v>
      </c>
      <c r="Y315" s="45" t="s">
        <v>42</v>
      </c>
      <c r="Z315" s="1">
        <f t="shared" si="89"/>
        <v>-10</v>
      </c>
      <c r="AA315" s="1">
        <f t="shared" si="84"/>
        <v>-3.4641016151377357</v>
      </c>
    </row>
    <row r="316" spans="1:27" s="49" customFormat="1" ht="16.5" customHeight="1" thickBot="1" x14ac:dyDescent="0.3">
      <c r="A316" s="84">
        <v>309</v>
      </c>
      <c r="B316" s="52" t="s">
        <v>35</v>
      </c>
      <c r="C316" s="41" t="s">
        <v>36</v>
      </c>
      <c r="D316" s="41" t="s">
        <v>37</v>
      </c>
      <c r="E316" s="41" t="s">
        <v>227</v>
      </c>
      <c r="F316" s="41" t="s">
        <v>279</v>
      </c>
      <c r="G316" s="42" t="s">
        <v>425</v>
      </c>
      <c r="H316" s="46" t="s">
        <v>23</v>
      </c>
      <c r="I316" s="62" t="s">
        <v>573</v>
      </c>
      <c r="J316" s="70">
        <v>2016</v>
      </c>
      <c r="K316" s="66" t="s">
        <v>28</v>
      </c>
      <c r="L316" s="41">
        <v>3</v>
      </c>
      <c r="M316" s="41">
        <v>4</v>
      </c>
      <c r="N316" s="47">
        <v>1000</v>
      </c>
      <c r="O316" s="43">
        <f t="shared" si="85"/>
        <v>6</v>
      </c>
      <c r="P316" s="57">
        <v>450</v>
      </c>
      <c r="Q316" s="57">
        <v>457</v>
      </c>
      <c r="R316" s="57">
        <v>446</v>
      </c>
      <c r="S316" s="48">
        <f t="shared" si="86"/>
        <v>1440</v>
      </c>
      <c r="T316" s="43">
        <f t="shared" si="101"/>
        <v>451</v>
      </c>
      <c r="U316" s="44">
        <f t="shared" si="88"/>
        <v>31</v>
      </c>
      <c r="V316" s="45">
        <v>382</v>
      </c>
      <c r="W316" s="45">
        <v>2600</v>
      </c>
      <c r="X316" s="45" t="s">
        <v>41</v>
      </c>
      <c r="Y316" s="45" t="s">
        <v>42</v>
      </c>
      <c r="Z316" s="1">
        <f t="shared" si="89"/>
        <v>9</v>
      </c>
      <c r="AA316" s="1">
        <f t="shared" si="84"/>
        <v>-3.4641016151377357</v>
      </c>
    </row>
    <row r="317" spans="1:27" s="49" customFormat="1" ht="16.5" customHeight="1" thickBot="1" x14ac:dyDescent="0.3">
      <c r="A317" s="84">
        <v>310</v>
      </c>
      <c r="B317" s="52" t="s">
        <v>35</v>
      </c>
      <c r="C317" s="41" t="s">
        <v>36</v>
      </c>
      <c r="D317" s="41" t="s">
        <v>37</v>
      </c>
      <c r="E317" s="41" t="s">
        <v>227</v>
      </c>
      <c r="F317" s="41" t="s">
        <v>279</v>
      </c>
      <c r="G317" s="42" t="s">
        <v>285</v>
      </c>
      <c r="H317" s="46" t="s">
        <v>23</v>
      </c>
      <c r="I317" s="62"/>
      <c r="J317" s="70"/>
      <c r="K317" s="66" t="s">
        <v>28</v>
      </c>
      <c r="L317" s="41">
        <v>3</v>
      </c>
      <c r="M317" s="47">
        <v>1</v>
      </c>
      <c r="N317" s="47">
        <v>500</v>
      </c>
      <c r="O317" s="43">
        <f t="shared" si="85"/>
        <v>5.3333333333333428</v>
      </c>
      <c r="P317" s="57">
        <v>225</v>
      </c>
      <c r="Q317" s="57">
        <v>230</v>
      </c>
      <c r="R317" s="57">
        <v>219</v>
      </c>
      <c r="S317" s="48">
        <f t="shared" si="86"/>
        <v>720</v>
      </c>
      <c r="T317" s="43">
        <f t="shared" si="101"/>
        <v>224.66666666666666</v>
      </c>
      <c r="U317" s="44">
        <f t="shared" si="88"/>
        <v>31</v>
      </c>
      <c r="V317" s="45">
        <v>381</v>
      </c>
      <c r="W317" s="45">
        <v>3450</v>
      </c>
      <c r="X317" s="45" t="s">
        <v>56</v>
      </c>
      <c r="Y317" s="45" t="s">
        <v>42</v>
      </c>
      <c r="Z317" s="1">
        <f t="shared" si="89"/>
        <v>8</v>
      </c>
      <c r="AA317" s="1">
        <f t="shared" si="84"/>
        <v>-5.196152422706632</v>
      </c>
    </row>
    <row r="318" spans="1:27" s="49" customFormat="1" ht="16.5" customHeight="1" thickBot="1" x14ac:dyDescent="0.25">
      <c r="A318" s="84">
        <v>311</v>
      </c>
      <c r="B318" s="52" t="s">
        <v>35</v>
      </c>
      <c r="C318" s="41" t="s">
        <v>36</v>
      </c>
      <c r="D318" s="41" t="s">
        <v>37</v>
      </c>
      <c r="E318" s="41" t="s">
        <v>227</v>
      </c>
      <c r="F318" s="41" t="s">
        <v>279</v>
      </c>
      <c r="G318" s="42" t="s">
        <v>282</v>
      </c>
      <c r="H318" s="46" t="s">
        <v>23</v>
      </c>
      <c r="I318" s="63"/>
      <c r="J318" s="71"/>
      <c r="K318" s="66" t="s">
        <v>25</v>
      </c>
      <c r="L318" s="41">
        <v>3</v>
      </c>
      <c r="M318" s="47">
        <v>4</v>
      </c>
      <c r="N318" s="47">
        <v>500</v>
      </c>
      <c r="O318" s="43">
        <f t="shared" si="85"/>
        <v>5.6666666666666856</v>
      </c>
      <c r="P318" s="47">
        <v>416</v>
      </c>
      <c r="Q318" s="47">
        <v>411</v>
      </c>
      <c r="R318" s="47">
        <v>422</v>
      </c>
      <c r="S318" s="48">
        <f t="shared" si="86"/>
        <v>720</v>
      </c>
      <c r="T318" s="43">
        <f t="shared" si="101"/>
        <v>416.33333333333331</v>
      </c>
      <c r="U318" s="44">
        <f t="shared" si="88"/>
        <v>58</v>
      </c>
      <c r="V318" s="45">
        <v>380</v>
      </c>
      <c r="W318" s="45">
        <v>3450</v>
      </c>
      <c r="X318" s="45" t="s">
        <v>56</v>
      </c>
      <c r="Y318" s="45" t="s">
        <v>42</v>
      </c>
      <c r="Z318" s="1">
        <f t="shared" si="89"/>
        <v>-8</v>
      </c>
      <c r="AA318" s="1">
        <f t="shared" si="84"/>
        <v>5.196152422706632</v>
      </c>
    </row>
    <row r="319" spans="1:27" s="49" customFormat="1" ht="16.5" customHeight="1" thickBot="1" x14ac:dyDescent="0.3">
      <c r="A319" s="84">
        <v>312</v>
      </c>
      <c r="B319" s="52" t="s">
        <v>35</v>
      </c>
      <c r="C319" s="41" t="s">
        <v>36</v>
      </c>
      <c r="D319" s="41" t="s">
        <v>37</v>
      </c>
      <c r="E319" s="41" t="s">
        <v>227</v>
      </c>
      <c r="F319" s="41" t="s">
        <v>287</v>
      </c>
      <c r="G319" s="42" t="s">
        <v>288</v>
      </c>
      <c r="H319" s="46" t="s">
        <v>23</v>
      </c>
      <c r="I319" s="62" t="s">
        <v>573</v>
      </c>
      <c r="J319" s="70">
        <v>1990</v>
      </c>
      <c r="K319" s="66" t="s">
        <v>28</v>
      </c>
      <c r="L319" s="41">
        <v>3</v>
      </c>
      <c r="M319" s="47">
        <v>3</v>
      </c>
      <c r="N319" s="47">
        <v>500</v>
      </c>
      <c r="O319" s="43">
        <f t="shared" si="85"/>
        <v>6.3333333333333428</v>
      </c>
      <c r="P319" s="57">
        <v>221</v>
      </c>
      <c r="Q319" s="57">
        <v>228</v>
      </c>
      <c r="R319" s="57">
        <v>216</v>
      </c>
      <c r="S319" s="48">
        <f t="shared" si="86"/>
        <v>720</v>
      </c>
      <c r="T319" s="43">
        <f t="shared" si="101"/>
        <v>221.66666666666666</v>
      </c>
      <c r="U319" s="44">
        <f t="shared" si="88"/>
        <v>31</v>
      </c>
      <c r="V319" s="45">
        <v>382</v>
      </c>
      <c r="W319" s="45">
        <v>3450</v>
      </c>
      <c r="X319" s="45" t="s">
        <v>56</v>
      </c>
      <c r="Y319" s="45" t="s">
        <v>42</v>
      </c>
      <c r="Z319" s="1">
        <f t="shared" si="89"/>
        <v>9.5</v>
      </c>
      <c r="AA319" s="1">
        <f t="shared" si="84"/>
        <v>-4.3301270189222123</v>
      </c>
    </row>
    <row r="320" spans="1:27" s="49" customFormat="1" ht="16.5" customHeight="1" thickBot="1" x14ac:dyDescent="0.3">
      <c r="A320" s="84">
        <v>313</v>
      </c>
      <c r="B320" s="52" t="s">
        <v>35</v>
      </c>
      <c r="C320" s="41" t="s">
        <v>36</v>
      </c>
      <c r="D320" s="41" t="s">
        <v>69</v>
      </c>
      <c r="E320" s="41" t="s">
        <v>227</v>
      </c>
      <c r="F320" s="41" t="s">
        <v>287</v>
      </c>
      <c r="G320" s="42" t="s">
        <v>289</v>
      </c>
      <c r="H320" s="46" t="s">
        <v>23</v>
      </c>
      <c r="I320" s="62" t="s">
        <v>573</v>
      </c>
      <c r="J320" s="70">
        <v>1990</v>
      </c>
      <c r="K320" s="66" t="s">
        <v>28</v>
      </c>
      <c r="L320" s="41">
        <v>3</v>
      </c>
      <c r="M320" s="47">
        <v>3</v>
      </c>
      <c r="N320" s="47">
        <v>500</v>
      </c>
      <c r="O320" s="43">
        <f t="shared" si="85"/>
        <v>5.3333333333333428</v>
      </c>
      <c r="P320" s="57">
        <v>240</v>
      </c>
      <c r="Q320" s="57">
        <v>235</v>
      </c>
      <c r="R320" s="57">
        <v>229</v>
      </c>
      <c r="S320" s="48">
        <f t="shared" si="86"/>
        <v>720</v>
      </c>
      <c r="T320" s="43">
        <f t="shared" si="101"/>
        <v>234.66666666666666</v>
      </c>
      <c r="U320" s="44">
        <f t="shared" si="88"/>
        <v>33</v>
      </c>
      <c r="V320" s="45">
        <v>382</v>
      </c>
      <c r="W320" s="45">
        <v>3450</v>
      </c>
      <c r="X320" s="45" t="s">
        <v>56</v>
      </c>
      <c r="Y320" s="45" t="s">
        <v>42</v>
      </c>
      <c r="Z320" s="1">
        <f t="shared" si="89"/>
        <v>0.5</v>
      </c>
      <c r="AA320" s="1">
        <f t="shared" si="84"/>
        <v>-9.5262794416288159</v>
      </c>
    </row>
    <row r="321" spans="1:27" s="114" customFormat="1" ht="16.5" customHeight="1" thickBot="1" x14ac:dyDescent="0.3">
      <c r="A321" s="98">
        <v>314</v>
      </c>
      <c r="B321" s="102" t="s">
        <v>35</v>
      </c>
      <c r="C321" s="103" t="s">
        <v>36</v>
      </c>
      <c r="D321" s="103" t="s">
        <v>69</v>
      </c>
      <c r="E321" s="103" t="s">
        <v>227</v>
      </c>
      <c r="F321" s="103" t="s">
        <v>287</v>
      </c>
      <c r="G321" s="99" t="s">
        <v>589</v>
      </c>
      <c r="H321" s="115" t="s">
        <v>23</v>
      </c>
      <c r="I321" s="121" t="s">
        <v>573</v>
      </c>
      <c r="J321" s="122">
        <v>1988</v>
      </c>
      <c r="K321" s="116" t="s">
        <v>25</v>
      </c>
      <c r="L321" s="103">
        <v>3</v>
      </c>
      <c r="M321" s="117">
        <v>4</v>
      </c>
      <c r="N321" s="117">
        <v>500</v>
      </c>
      <c r="O321" s="118">
        <f t="shared" si="85"/>
        <v>6</v>
      </c>
      <c r="P321" s="119">
        <v>263</v>
      </c>
      <c r="Q321" s="119">
        <v>248</v>
      </c>
      <c r="R321" s="119">
        <v>260</v>
      </c>
      <c r="S321" s="120">
        <f t="shared" si="86"/>
        <v>720</v>
      </c>
      <c r="T321" s="118">
        <f t="shared" si="101"/>
        <v>257</v>
      </c>
      <c r="U321" s="100">
        <f t="shared" si="88"/>
        <v>36</v>
      </c>
      <c r="V321" s="104">
        <v>380</v>
      </c>
      <c r="W321" s="104">
        <v>3450</v>
      </c>
      <c r="X321" s="104" t="s">
        <v>56</v>
      </c>
      <c r="Y321" s="104" t="s">
        <v>42</v>
      </c>
      <c r="Z321" s="1">
        <f t="shared" si="89"/>
        <v>-13.5</v>
      </c>
      <c r="AA321" s="1">
        <f t="shared" si="84"/>
        <v>-2.598076211353316</v>
      </c>
    </row>
    <row r="322" spans="1:27" s="49" customFormat="1" ht="16.5" customHeight="1" thickBot="1" x14ac:dyDescent="0.25">
      <c r="A322" s="84">
        <v>315</v>
      </c>
      <c r="B322" s="52" t="s">
        <v>35</v>
      </c>
      <c r="C322" s="41" t="s">
        <v>36</v>
      </c>
      <c r="D322" s="41" t="s">
        <v>37</v>
      </c>
      <c r="E322" s="41" t="s">
        <v>227</v>
      </c>
      <c r="F322" s="41" t="s">
        <v>287</v>
      </c>
      <c r="G322" s="42" t="s">
        <v>476</v>
      </c>
      <c r="H322" s="46" t="s">
        <v>26</v>
      </c>
      <c r="I322" s="62"/>
      <c r="J322" s="70"/>
      <c r="K322" s="66" t="s">
        <v>28</v>
      </c>
      <c r="L322" s="41">
        <v>3</v>
      </c>
      <c r="M322" s="47"/>
      <c r="N322" s="47">
        <v>500</v>
      </c>
      <c r="O322" s="43">
        <f t="shared" si="85"/>
        <v>7</v>
      </c>
      <c r="P322" s="47">
        <v>290</v>
      </c>
      <c r="Q322" s="47">
        <v>287</v>
      </c>
      <c r="R322" s="47">
        <v>299</v>
      </c>
      <c r="S322" s="48">
        <f t="shared" si="86"/>
        <v>720</v>
      </c>
      <c r="T322" s="43">
        <f t="shared" si="101"/>
        <v>292</v>
      </c>
      <c r="U322" s="44">
        <f t="shared" si="88"/>
        <v>41</v>
      </c>
      <c r="V322" s="45">
        <v>380</v>
      </c>
      <c r="W322" s="45">
        <v>3450</v>
      </c>
      <c r="X322" s="45" t="s">
        <v>56</v>
      </c>
      <c r="Y322" s="45" t="s">
        <v>42</v>
      </c>
      <c r="Z322" s="1">
        <f t="shared" si="89"/>
        <v>-7.5</v>
      </c>
      <c r="AA322" s="1">
        <f t="shared" ref="AA322:AA343" si="102">SQRT(3)/2*R322-SQRT(3)/2*P322</f>
        <v>7.7942286340599196</v>
      </c>
    </row>
    <row r="323" spans="1:27" s="49" customFormat="1" ht="16.5" customHeight="1" thickBot="1" x14ac:dyDescent="0.3">
      <c r="A323" s="98">
        <v>316</v>
      </c>
      <c r="B323" s="102" t="s">
        <v>35</v>
      </c>
      <c r="C323" s="103" t="s">
        <v>36</v>
      </c>
      <c r="D323" s="103" t="s">
        <v>37</v>
      </c>
      <c r="E323" s="103" t="s">
        <v>227</v>
      </c>
      <c r="F323" s="103" t="s">
        <v>287</v>
      </c>
      <c r="G323" s="99" t="s">
        <v>290</v>
      </c>
      <c r="H323" s="115" t="s">
        <v>23</v>
      </c>
      <c r="I323" s="121" t="s">
        <v>595</v>
      </c>
      <c r="J323" s="122">
        <v>1985</v>
      </c>
      <c r="K323" s="116" t="s">
        <v>25</v>
      </c>
      <c r="L323" s="103">
        <v>3</v>
      </c>
      <c r="M323" s="117">
        <v>2</v>
      </c>
      <c r="N323" s="117">
        <v>500</v>
      </c>
      <c r="O323" s="118">
        <f t="shared" si="85"/>
        <v>4.6666666666666856</v>
      </c>
      <c r="P323" s="119">
        <v>291</v>
      </c>
      <c r="Q323" s="119">
        <v>287</v>
      </c>
      <c r="R323" s="119">
        <v>296</v>
      </c>
      <c r="S323" s="120">
        <f t="shared" si="86"/>
        <v>720</v>
      </c>
      <c r="T323" s="118">
        <f t="shared" ref="T323:T328" si="103">(R323+Q323+P323)/3</f>
        <v>291.33333333333331</v>
      </c>
      <c r="U323" s="100">
        <f t="shared" si="88"/>
        <v>40</v>
      </c>
      <c r="V323" s="104">
        <v>381</v>
      </c>
      <c r="W323" s="104">
        <v>3450</v>
      </c>
      <c r="X323" s="104" t="s">
        <v>56</v>
      </c>
      <c r="Y323" s="104" t="s">
        <v>42</v>
      </c>
      <c r="Z323" s="1"/>
      <c r="AA323" s="1"/>
    </row>
    <row r="324" spans="1:27" s="49" customFormat="1" ht="16.5" customHeight="1" thickBot="1" x14ac:dyDescent="0.25">
      <c r="A324" s="84">
        <v>317</v>
      </c>
      <c r="B324" s="52" t="s">
        <v>35</v>
      </c>
      <c r="C324" s="41" t="s">
        <v>36</v>
      </c>
      <c r="D324" s="41" t="s">
        <v>37</v>
      </c>
      <c r="E324" s="41" t="s">
        <v>227</v>
      </c>
      <c r="F324" s="41" t="s">
        <v>287</v>
      </c>
      <c r="G324" s="42" t="s">
        <v>212</v>
      </c>
      <c r="H324" s="46" t="s">
        <v>23</v>
      </c>
      <c r="I324" s="63"/>
      <c r="J324" s="71"/>
      <c r="K324" s="66" t="s">
        <v>25</v>
      </c>
      <c r="L324" s="41">
        <v>3</v>
      </c>
      <c r="M324" s="41">
        <v>4</v>
      </c>
      <c r="N324" s="47">
        <v>800</v>
      </c>
      <c r="O324" s="43">
        <f t="shared" si="85"/>
        <v>6.6666666666666856</v>
      </c>
      <c r="P324" s="47">
        <v>406</v>
      </c>
      <c r="Q324" s="47">
        <v>412</v>
      </c>
      <c r="R324" s="47">
        <v>398</v>
      </c>
      <c r="S324" s="48">
        <f t="shared" si="86"/>
        <v>1152</v>
      </c>
      <c r="T324" s="43">
        <f t="shared" si="103"/>
        <v>405.33333333333331</v>
      </c>
      <c r="U324" s="44">
        <f t="shared" si="88"/>
        <v>35</v>
      </c>
      <c r="V324" s="45">
        <v>382</v>
      </c>
      <c r="W324" s="45">
        <v>1700</v>
      </c>
      <c r="X324" s="45" t="s">
        <v>41</v>
      </c>
      <c r="Y324" s="45" t="s">
        <v>42</v>
      </c>
      <c r="Z324" s="1">
        <f t="shared" si="89"/>
        <v>10</v>
      </c>
      <c r="AA324" s="1">
        <f t="shared" si="102"/>
        <v>-6.9282032302755283</v>
      </c>
    </row>
    <row r="325" spans="1:27" s="49" customFormat="1" ht="16.5" customHeight="1" thickBot="1" x14ac:dyDescent="0.25">
      <c r="A325" s="98">
        <v>318</v>
      </c>
      <c r="B325" s="102" t="s">
        <v>35</v>
      </c>
      <c r="C325" s="103" t="s">
        <v>36</v>
      </c>
      <c r="D325" s="103" t="s">
        <v>37</v>
      </c>
      <c r="E325" s="103" t="s">
        <v>227</v>
      </c>
      <c r="F325" s="103" t="s">
        <v>287</v>
      </c>
      <c r="G325" s="99" t="s">
        <v>287</v>
      </c>
      <c r="H325" s="115" t="s">
        <v>23</v>
      </c>
      <c r="I325" s="121"/>
      <c r="J325" s="122"/>
      <c r="K325" s="116" t="s">
        <v>25</v>
      </c>
      <c r="L325" s="103">
        <v>3</v>
      </c>
      <c r="M325" s="117">
        <v>2</v>
      </c>
      <c r="N325" s="117">
        <v>250</v>
      </c>
      <c r="O325" s="118">
        <f t="shared" si="85"/>
        <v>5</v>
      </c>
      <c r="P325" s="117">
        <v>234</v>
      </c>
      <c r="Q325" s="117">
        <v>222</v>
      </c>
      <c r="R325" s="117">
        <v>231</v>
      </c>
      <c r="S325" s="120">
        <f t="shared" si="86"/>
        <v>360</v>
      </c>
      <c r="T325" s="118">
        <f t="shared" si="103"/>
        <v>229</v>
      </c>
      <c r="U325" s="100">
        <f t="shared" si="88"/>
        <v>64</v>
      </c>
      <c r="V325" s="104">
        <v>380</v>
      </c>
      <c r="W325" s="104">
        <v>3450</v>
      </c>
      <c r="X325" s="104" t="s">
        <v>56</v>
      </c>
      <c r="Y325" s="104" t="s">
        <v>42</v>
      </c>
      <c r="Z325" s="1"/>
      <c r="AA325" s="1"/>
    </row>
    <row r="326" spans="1:27" s="114" customFormat="1" ht="16.5" customHeight="1" thickBot="1" x14ac:dyDescent="0.3">
      <c r="A326" s="98">
        <v>319</v>
      </c>
      <c r="B326" s="102" t="s">
        <v>35</v>
      </c>
      <c r="C326" s="103" t="s">
        <v>36</v>
      </c>
      <c r="D326" s="103" t="s">
        <v>37</v>
      </c>
      <c r="E326" s="103" t="s">
        <v>227</v>
      </c>
      <c r="F326" s="103" t="s">
        <v>287</v>
      </c>
      <c r="G326" s="99" t="s">
        <v>291</v>
      </c>
      <c r="H326" s="115" t="s">
        <v>23</v>
      </c>
      <c r="I326" s="121" t="s">
        <v>573</v>
      </c>
      <c r="J326" s="122">
        <v>2016</v>
      </c>
      <c r="K326" s="116" t="s">
        <v>25</v>
      </c>
      <c r="L326" s="103">
        <v>3</v>
      </c>
      <c r="M326" s="117">
        <v>4</v>
      </c>
      <c r="N326" s="117">
        <v>500</v>
      </c>
      <c r="O326" s="118">
        <f t="shared" si="85"/>
        <v>6.3333333333333144</v>
      </c>
      <c r="P326" s="119">
        <v>269</v>
      </c>
      <c r="Q326" s="119">
        <v>256</v>
      </c>
      <c r="R326" s="119">
        <v>263</v>
      </c>
      <c r="S326" s="120">
        <f t="shared" si="86"/>
        <v>720</v>
      </c>
      <c r="T326" s="118">
        <f t="shared" si="103"/>
        <v>262.66666666666669</v>
      </c>
      <c r="U326" s="100">
        <f t="shared" si="88"/>
        <v>36</v>
      </c>
      <c r="V326" s="104">
        <v>381</v>
      </c>
      <c r="W326" s="104">
        <v>3450</v>
      </c>
      <c r="X326" s="104" t="s">
        <v>56</v>
      </c>
      <c r="Y326" s="104" t="s">
        <v>42</v>
      </c>
      <c r="Z326" s="1">
        <f t="shared" si="89"/>
        <v>-10</v>
      </c>
      <c r="AA326" s="1">
        <f t="shared" si="102"/>
        <v>-5.196152422706632</v>
      </c>
    </row>
    <row r="327" spans="1:27" s="49" customFormat="1" ht="16.5" customHeight="1" thickBot="1" x14ac:dyDescent="0.25">
      <c r="A327" s="84">
        <v>320</v>
      </c>
      <c r="B327" s="52" t="s">
        <v>35</v>
      </c>
      <c r="C327" s="41" t="s">
        <v>36</v>
      </c>
      <c r="D327" s="41" t="s">
        <v>37</v>
      </c>
      <c r="E327" s="41" t="s">
        <v>227</v>
      </c>
      <c r="F327" s="41" t="s">
        <v>287</v>
      </c>
      <c r="G327" s="42" t="s">
        <v>292</v>
      </c>
      <c r="H327" s="46" t="s">
        <v>23</v>
      </c>
      <c r="I327" s="63"/>
      <c r="J327" s="71"/>
      <c r="K327" s="66" t="s">
        <v>25</v>
      </c>
      <c r="L327" s="41">
        <v>3</v>
      </c>
      <c r="M327" s="47">
        <v>2</v>
      </c>
      <c r="N327" s="47">
        <v>200</v>
      </c>
      <c r="O327" s="43">
        <f t="shared" ref="O327:O373" si="104">MAX(P327:R327)-AVERAGE(P327:R327)</f>
        <v>5</v>
      </c>
      <c r="P327" s="47">
        <v>140</v>
      </c>
      <c r="Q327" s="47">
        <v>129</v>
      </c>
      <c r="R327" s="47">
        <v>136</v>
      </c>
      <c r="S327" s="48">
        <f t="shared" si="86"/>
        <v>288</v>
      </c>
      <c r="T327" s="43">
        <f t="shared" si="103"/>
        <v>135</v>
      </c>
      <c r="U327" s="44">
        <f t="shared" si="88"/>
        <v>47</v>
      </c>
      <c r="V327" s="45">
        <v>380</v>
      </c>
      <c r="W327" s="45">
        <v>3450</v>
      </c>
      <c r="X327" s="45" t="s">
        <v>56</v>
      </c>
      <c r="Y327" s="45" t="s">
        <v>42</v>
      </c>
      <c r="Z327" s="1">
        <f t="shared" si="89"/>
        <v>-9</v>
      </c>
      <c r="AA327" s="1">
        <f t="shared" si="102"/>
        <v>-3.4641016151377499</v>
      </c>
    </row>
    <row r="328" spans="1:27" s="49" customFormat="1" ht="16.5" customHeight="1" thickBot="1" x14ac:dyDescent="0.25">
      <c r="A328" s="84">
        <v>321</v>
      </c>
      <c r="B328" s="52" t="s">
        <v>35</v>
      </c>
      <c r="C328" s="41" t="s">
        <v>36</v>
      </c>
      <c r="D328" s="41" t="s">
        <v>37</v>
      </c>
      <c r="E328" s="41" t="s">
        <v>227</v>
      </c>
      <c r="F328" s="41" t="s">
        <v>287</v>
      </c>
      <c r="G328" s="42" t="s">
        <v>477</v>
      </c>
      <c r="H328" s="46" t="s">
        <v>26</v>
      </c>
      <c r="I328" s="63"/>
      <c r="J328" s="71"/>
      <c r="K328" s="66" t="s">
        <v>25</v>
      </c>
      <c r="L328" s="41">
        <v>3</v>
      </c>
      <c r="M328" s="47"/>
      <c r="N328" s="47">
        <v>200</v>
      </c>
      <c r="O328" s="43">
        <f t="shared" si="104"/>
        <v>4.3333333333333286</v>
      </c>
      <c r="P328" s="47">
        <v>125</v>
      </c>
      <c r="Q328" s="47">
        <v>123</v>
      </c>
      <c r="R328" s="47">
        <v>114</v>
      </c>
      <c r="S328" s="48">
        <f t="shared" si="86"/>
        <v>288</v>
      </c>
      <c r="T328" s="43">
        <f t="shared" si="103"/>
        <v>120.66666666666667</v>
      </c>
      <c r="U328" s="44">
        <f t="shared" si="88"/>
        <v>42</v>
      </c>
      <c r="V328" s="45">
        <v>382</v>
      </c>
      <c r="W328" s="45">
        <v>3450</v>
      </c>
      <c r="X328" s="45" t="s">
        <v>56</v>
      </c>
      <c r="Y328" s="45" t="s">
        <v>42</v>
      </c>
      <c r="Z328" s="1">
        <f t="shared" si="89"/>
        <v>3.5</v>
      </c>
      <c r="AA328" s="1">
        <f t="shared" si="102"/>
        <v>-9.5262794416288301</v>
      </c>
    </row>
    <row r="329" spans="1:27" s="56" customFormat="1" ht="24.6" customHeight="1" thickBot="1" x14ac:dyDescent="0.25">
      <c r="A329" s="84">
        <v>322</v>
      </c>
      <c r="B329" s="52" t="s">
        <v>35</v>
      </c>
      <c r="C329" s="41" t="s">
        <v>36</v>
      </c>
      <c r="D329" s="41" t="s">
        <v>37</v>
      </c>
      <c r="E329" s="41" t="s">
        <v>227</v>
      </c>
      <c r="F329" s="41" t="s">
        <v>287</v>
      </c>
      <c r="G329" s="42" t="s">
        <v>549</v>
      </c>
      <c r="H329" s="46" t="s">
        <v>23</v>
      </c>
      <c r="I329" s="62" t="s">
        <v>573</v>
      </c>
      <c r="J329" s="70">
        <v>2018</v>
      </c>
      <c r="K329" s="66" t="s">
        <v>28</v>
      </c>
      <c r="L329" s="41">
        <v>3</v>
      </c>
      <c r="M329" s="47"/>
      <c r="N329" s="47">
        <v>1000</v>
      </c>
      <c r="O329" s="43">
        <f t="shared" si="104"/>
        <v>6</v>
      </c>
      <c r="P329" s="58">
        <v>489</v>
      </c>
      <c r="Q329" s="58">
        <v>485</v>
      </c>
      <c r="R329" s="58">
        <v>496</v>
      </c>
      <c r="S329" s="48">
        <f t="shared" si="86"/>
        <v>1440</v>
      </c>
      <c r="T329" s="43">
        <f>(R329+Q329+P329)/3</f>
        <v>490</v>
      </c>
      <c r="U329" s="44">
        <f t="shared" si="88"/>
        <v>34</v>
      </c>
      <c r="V329" s="45">
        <v>382</v>
      </c>
      <c r="W329" s="45">
        <v>3450</v>
      </c>
      <c r="X329" s="45" t="s">
        <v>56</v>
      </c>
      <c r="Y329" s="45" t="s">
        <v>42</v>
      </c>
      <c r="Z329" s="1"/>
      <c r="AA329" s="1"/>
    </row>
    <row r="330" spans="1:27" s="49" customFormat="1" ht="16.5" customHeight="1" thickBot="1" x14ac:dyDescent="0.25">
      <c r="A330" s="84">
        <v>323</v>
      </c>
      <c r="B330" s="52" t="s">
        <v>35</v>
      </c>
      <c r="C330" s="41" t="s">
        <v>36</v>
      </c>
      <c r="D330" s="41" t="s">
        <v>37</v>
      </c>
      <c r="E330" s="41" t="s">
        <v>227</v>
      </c>
      <c r="F330" s="41" t="s">
        <v>287</v>
      </c>
      <c r="G330" s="42" t="s">
        <v>467</v>
      </c>
      <c r="H330" s="46" t="s">
        <v>26</v>
      </c>
      <c r="I330" s="63"/>
      <c r="J330" s="71"/>
      <c r="K330" s="66" t="s">
        <v>25</v>
      </c>
      <c r="L330" s="41">
        <v>3</v>
      </c>
      <c r="M330" s="41"/>
      <c r="N330" s="47">
        <v>500</v>
      </c>
      <c r="O330" s="43">
        <f t="shared" si="104"/>
        <v>9.6666666666666856</v>
      </c>
      <c r="P330" s="47">
        <v>312</v>
      </c>
      <c r="Q330" s="47">
        <v>304</v>
      </c>
      <c r="R330" s="47">
        <v>291</v>
      </c>
      <c r="S330" s="48">
        <f t="shared" ref="S330:S350" si="105">1.44*N330</f>
        <v>720</v>
      </c>
      <c r="T330" s="43">
        <f>(R330+Q330+P330)/3</f>
        <v>302.33333333333331</v>
      </c>
      <c r="U330" s="44">
        <f t="shared" ref="U330:U395" si="106">ROUND(((AVERAGE(P330,R330,Q330))/(N330*1.44))*100,0)</f>
        <v>42</v>
      </c>
      <c r="V330" s="45">
        <v>382</v>
      </c>
      <c r="W330" s="45">
        <v>3450</v>
      </c>
      <c r="X330" s="45" t="s">
        <v>56</v>
      </c>
      <c r="Y330" s="45" t="s">
        <v>42</v>
      </c>
      <c r="Z330" s="1"/>
      <c r="AA330" s="1"/>
    </row>
    <row r="331" spans="1:27" s="114" customFormat="1" ht="16.5" customHeight="1" thickBot="1" x14ac:dyDescent="0.3">
      <c r="A331" s="98">
        <v>324</v>
      </c>
      <c r="B331" s="102" t="s">
        <v>35</v>
      </c>
      <c r="C331" s="103" t="s">
        <v>36</v>
      </c>
      <c r="D331" s="103" t="s">
        <v>37</v>
      </c>
      <c r="E331" s="103" t="s">
        <v>227</v>
      </c>
      <c r="F331" s="103" t="s">
        <v>287</v>
      </c>
      <c r="G331" s="99" t="s">
        <v>238</v>
      </c>
      <c r="H331" s="115" t="s">
        <v>23</v>
      </c>
      <c r="I331" s="124"/>
      <c r="J331" s="125"/>
      <c r="K331" s="116" t="s">
        <v>28</v>
      </c>
      <c r="L331" s="103">
        <v>3</v>
      </c>
      <c r="M331" s="103"/>
      <c r="N331" s="117">
        <v>1000</v>
      </c>
      <c r="O331" s="118">
        <f t="shared" si="104"/>
        <v>5.3333333333333144</v>
      </c>
      <c r="P331" s="119">
        <v>458</v>
      </c>
      <c r="Q331" s="119">
        <v>453</v>
      </c>
      <c r="R331" s="119">
        <v>447</v>
      </c>
      <c r="S331" s="120">
        <f t="shared" si="105"/>
        <v>1440</v>
      </c>
      <c r="T331" s="118">
        <f t="shared" ref="T331:T338" si="107">(R331+Q331+P331)/3</f>
        <v>452.66666666666669</v>
      </c>
      <c r="U331" s="100">
        <f t="shared" si="106"/>
        <v>31</v>
      </c>
      <c r="V331" s="104">
        <v>382</v>
      </c>
      <c r="W331" s="104">
        <v>3450</v>
      </c>
      <c r="X331" s="104" t="s">
        <v>56</v>
      </c>
      <c r="Y331" s="104" t="s">
        <v>42</v>
      </c>
      <c r="Z331" s="1"/>
      <c r="AA331" s="1"/>
    </row>
    <row r="332" spans="1:27" s="49" customFormat="1" ht="16.5" customHeight="1" thickBot="1" x14ac:dyDescent="0.3">
      <c r="A332" s="84">
        <v>325</v>
      </c>
      <c r="B332" s="52" t="s">
        <v>35</v>
      </c>
      <c r="C332" s="41" t="s">
        <v>36</v>
      </c>
      <c r="D332" s="41" t="s">
        <v>37</v>
      </c>
      <c r="E332" s="41" t="s">
        <v>227</v>
      </c>
      <c r="F332" s="41" t="s">
        <v>287</v>
      </c>
      <c r="G332" s="42" t="s">
        <v>547</v>
      </c>
      <c r="H332" s="46" t="s">
        <v>23</v>
      </c>
      <c r="I332" s="75" t="s">
        <v>596</v>
      </c>
      <c r="J332" s="70">
        <v>2013</v>
      </c>
      <c r="K332" s="66" t="s">
        <v>28</v>
      </c>
      <c r="L332" s="41">
        <v>3</v>
      </c>
      <c r="M332" s="41">
        <v>1</v>
      </c>
      <c r="N332" s="47">
        <v>200</v>
      </c>
      <c r="O332" s="43">
        <f t="shared" si="104"/>
        <v>5</v>
      </c>
      <c r="P332" s="57">
        <v>136</v>
      </c>
      <c r="Q332" s="57">
        <v>125</v>
      </c>
      <c r="R332" s="57">
        <v>132</v>
      </c>
      <c r="S332" s="48">
        <f t="shared" si="105"/>
        <v>288</v>
      </c>
      <c r="T332" s="43">
        <f t="shared" si="107"/>
        <v>131</v>
      </c>
      <c r="U332" s="44">
        <f t="shared" si="106"/>
        <v>45</v>
      </c>
      <c r="V332" s="45">
        <v>382</v>
      </c>
      <c r="W332" s="45">
        <v>3450</v>
      </c>
      <c r="X332" s="45" t="s">
        <v>56</v>
      </c>
      <c r="Y332" s="45" t="s">
        <v>42</v>
      </c>
      <c r="Z332" s="1"/>
      <c r="AA332" s="1"/>
    </row>
    <row r="333" spans="1:27" s="114" customFormat="1" ht="16.5" customHeight="1" thickBot="1" x14ac:dyDescent="0.3">
      <c r="A333" s="98">
        <v>326</v>
      </c>
      <c r="B333" s="102" t="s">
        <v>35</v>
      </c>
      <c r="C333" s="103" t="s">
        <v>36</v>
      </c>
      <c r="D333" s="103" t="s">
        <v>37</v>
      </c>
      <c r="E333" s="103" t="s">
        <v>227</v>
      </c>
      <c r="F333" s="103" t="s">
        <v>293</v>
      </c>
      <c r="G333" s="99" t="s">
        <v>294</v>
      </c>
      <c r="H333" s="115" t="s">
        <v>23</v>
      </c>
      <c r="I333" s="107"/>
      <c r="J333" s="108"/>
      <c r="K333" s="116" t="s">
        <v>28</v>
      </c>
      <c r="L333" s="103">
        <v>3</v>
      </c>
      <c r="M333" s="117"/>
      <c r="N333" s="117">
        <v>1000</v>
      </c>
      <c r="O333" s="118">
        <f t="shared" si="104"/>
        <v>5.3333333333333144</v>
      </c>
      <c r="P333" s="119">
        <v>475</v>
      </c>
      <c r="Q333" s="119">
        <v>480</v>
      </c>
      <c r="R333" s="119">
        <v>469</v>
      </c>
      <c r="S333" s="120">
        <f t="shared" si="105"/>
        <v>1440</v>
      </c>
      <c r="T333" s="118">
        <f t="shared" si="107"/>
        <v>474.66666666666669</v>
      </c>
      <c r="U333" s="100">
        <f t="shared" si="106"/>
        <v>33</v>
      </c>
      <c r="V333" s="104">
        <v>381</v>
      </c>
      <c r="W333" s="104">
        <v>2840</v>
      </c>
      <c r="X333" s="104" t="s">
        <v>41</v>
      </c>
      <c r="Y333" s="104" t="s">
        <v>42</v>
      </c>
      <c r="Z333" s="1">
        <f t="shared" si="89"/>
        <v>8</v>
      </c>
      <c r="AA333" s="1">
        <f t="shared" si="102"/>
        <v>-5.196152422706632</v>
      </c>
    </row>
    <row r="334" spans="1:27" s="114" customFormat="1" ht="16.5" customHeight="1" thickBot="1" x14ac:dyDescent="0.3">
      <c r="A334" s="98">
        <v>327</v>
      </c>
      <c r="B334" s="102" t="s">
        <v>35</v>
      </c>
      <c r="C334" s="103" t="s">
        <v>36</v>
      </c>
      <c r="D334" s="103" t="s">
        <v>37</v>
      </c>
      <c r="E334" s="103" t="s">
        <v>227</v>
      </c>
      <c r="F334" s="103" t="s">
        <v>293</v>
      </c>
      <c r="G334" s="99" t="s">
        <v>295</v>
      </c>
      <c r="H334" s="115" t="s">
        <v>23</v>
      </c>
      <c r="I334" s="107"/>
      <c r="J334" s="108"/>
      <c r="K334" s="116" t="s">
        <v>28</v>
      </c>
      <c r="L334" s="103">
        <v>3</v>
      </c>
      <c r="M334" s="117"/>
      <c r="N334" s="117">
        <v>1000</v>
      </c>
      <c r="O334" s="118">
        <f t="shared" si="104"/>
        <v>5.3333333333333144</v>
      </c>
      <c r="P334" s="119">
        <v>461</v>
      </c>
      <c r="Q334" s="119">
        <v>449</v>
      </c>
      <c r="R334" s="119">
        <v>457</v>
      </c>
      <c r="S334" s="120">
        <f t="shared" si="105"/>
        <v>1440</v>
      </c>
      <c r="T334" s="118">
        <f t="shared" si="107"/>
        <v>455.66666666666669</v>
      </c>
      <c r="U334" s="100">
        <f t="shared" si="106"/>
        <v>32</v>
      </c>
      <c r="V334" s="104">
        <v>381</v>
      </c>
      <c r="W334" s="104">
        <v>2840</v>
      </c>
      <c r="X334" s="104" t="s">
        <v>41</v>
      </c>
      <c r="Y334" s="104" t="s">
        <v>42</v>
      </c>
      <c r="Z334" s="1">
        <f t="shared" si="89"/>
        <v>-10</v>
      </c>
      <c r="AA334" s="1">
        <f t="shared" si="102"/>
        <v>-3.4641016151377357</v>
      </c>
    </row>
    <row r="335" spans="1:27" s="49" customFormat="1" ht="16.5" customHeight="1" thickBot="1" x14ac:dyDescent="0.3">
      <c r="A335" s="84">
        <v>328</v>
      </c>
      <c r="B335" s="52" t="s">
        <v>35</v>
      </c>
      <c r="C335" s="41" t="s">
        <v>36</v>
      </c>
      <c r="D335" s="41" t="s">
        <v>37</v>
      </c>
      <c r="E335" s="41" t="s">
        <v>227</v>
      </c>
      <c r="F335" s="41" t="s">
        <v>293</v>
      </c>
      <c r="G335" s="42" t="s">
        <v>286</v>
      </c>
      <c r="H335" s="46" t="s">
        <v>23</v>
      </c>
      <c r="I335" s="63"/>
      <c r="J335" s="71"/>
      <c r="K335" s="66" t="s">
        <v>25</v>
      </c>
      <c r="L335" s="41">
        <v>3</v>
      </c>
      <c r="M335" s="47"/>
      <c r="N335" s="47">
        <v>300</v>
      </c>
      <c r="O335" s="43">
        <f t="shared" si="104"/>
        <v>5.6666666666666572</v>
      </c>
      <c r="P335" s="57">
        <v>130</v>
      </c>
      <c r="Q335" s="57">
        <v>135</v>
      </c>
      <c r="R335" s="57">
        <v>141</v>
      </c>
      <c r="S335" s="48">
        <f t="shared" si="105"/>
        <v>432</v>
      </c>
      <c r="T335" s="43">
        <f t="shared" si="107"/>
        <v>135.33333333333334</v>
      </c>
      <c r="U335" s="44">
        <f t="shared" si="106"/>
        <v>31</v>
      </c>
      <c r="V335" s="45">
        <v>381</v>
      </c>
      <c r="W335" s="45">
        <v>3450</v>
      </c>
      <c r="X335" s="45" t="s">
        <v>56</v>
      </c>
      <c r="Y335" s="45" t="s">
        <v>42</v>
      </c>
      <c r="Z335" s="1"/>
      <c r="AA335" s="1"/>
    </row>
    <row r="336" spans="1:27" s="49" customFormat="1" ht="16.5" customHeight="1" thickBot="1" x14ac:dyDescent="0.25">
      <c r="A336" s="98">
        <v>329</v>
      </c>
      <c r="B336" s="102" t="s">
        <v>35</v>
      </c>
      <c r="C336" s="103" t="s">
        <v>36</v>
      </c>
      <c r="D336" s="103" t="s">
        <v>37</v>
      </c>
      <c r="E336" s="103" t="s">
        <v>227</v>
      </c>
      <c r="F336" s="103" t="s">
        <v>293</v>
      </c>
      <c r="G336" s="99" t="s">
        <v>563</v>
      </c>
      <c r="H336" s="115" t="s">
        <v>26</v>
      </c>
      <c r="I336" s="121"/>
      <c r="J336" s="122"/>
      <c r="K336" s="116" t="s">
        <v>28</v>
      </c>
      <c r="L336" s="103">
        <v>3</v>
      </c>
      <c r="M336" s="117"/>
      <c r="N336" s="117">
        <v>500</v>
      </c>
      <c r="O336" s="118">
        <f t="shared" si="104"/>
        <v>5.6666666666666856</v>
      </c>
      <c r="P336" s="117">
        <v>290</v>
      </c>
      <c r="Q336" s="117">
        <v>285</v>
      </c>
      <c r="R336" s="117">
        <v>296</v>
      </c>
      <c r="S336" s="120">
        <f t="shared" si="105"/>
        <v>720</v>
      </c>
      <c r="T336" s="118">
        <f t="shared" si="107"/>
        <v>290.33333333333331</v>
      </c>
      <c r="U336" s="100">
        <f t="shared" si="106"/>
        <v>40</v>
      </c>
      <c r="V336" s="104">
        <v>381</v>
      </c>
      <c r="W336" s="104">
        <v>3450</v>
      </c>
      <c r="X336" s="104" t="s">
        <v>56</v>
      </c>
      <c r="Y336" s="104" t="s">
        <v>42</v>
      </c>
      <c r="Z336" s="1"/>
      <c r="AA336" s="1"/>
    </row>
    <row r="337" spans="1:27" s="49" customFormat="1" ht="16.5" customHeight="1" thickBot="1" x14ac:dyDescent="0.25">
      <c r="A337" s="98">
        <v>330</v>
      </c>
      <c r="B337" s="102" t="s">
        <v>35</v>
      </c>
      <c r="C337" s="103" t="s">
        <v>36</v>
      </c>
      <c r="D337" s="103" t="s">
        <v>37</v>
      </c>
      <c r="E337" s="103" t="s">
        <v>227</v>
      </c>
      <c r="F337" s="103" t="s">
        <v>293</v>
      </c>
      <c r="G337" s="99" t="s">
        <v>601</v>
      </c>
      <c r="H337" s="115" t="s">
        <v>23</v>
      </c>
      <c r="I337" s="121" t="s">
        <v>573</v>
      </c>
      <c r="J337" s="122">
        <v>2025</v>
      </c>
      <c r="K337" s="116" t="s">
        <v>28</v>
      </c>
      <c r="L337" s="103">
        <v>3</v>
      </c>
      <c r="M337" s="117"/>
      <c r="N337" s="117">
        <v>1000</v>
      </c>
      <c r="O337" s="118">
        <f t="shared" si="104"/>
        <v>6.3333333333333144</v>
      </c>
      <c r="P337" s="117">
        <v>448</v>
      </c>
      <c r="Q337" s="117">
        <v>456</v>
      </c>
      <c r="R337" s="117">
        <v>445</v>
      </c>
      <c r="S337" s="120">
        <f t="shared" si="105"/>
        <v>1440</v>
      </c>
      <c r="T337" s="118">
        <f t="shared" si="107"/>
        <v>449.66666666666669</v>
      </c>
      <c r="U337" s="100">
        <f t="shared" si="106"/>
        <v>31</v>
      </c>
      <c r="V337" s="104">
        <v>381</v>
      </c>
      <c r="W337" s="104">
        <v>3450</v>
      </c>
      <c r="X337" s="104" t="s">
        <v>56</v>
      </c>
      <c r="Y337" s="104" t="s">
        <v>42</v>
      </c>
      <c r="Z337" s="1"/>
      <c r="AA337" s="1"/>
    </row>
    <row r="338" spans="1:27" s="49" customFormat="1" ht="16.5" customHeight="1" thickBot="1" x14ac:dyDescent="0.25">
      <c r="A338" s="98">
        <v>331</v>
      </c>
      <c r="B338" s="102" t="s">
        <v>35</v>
      </c>
      <c r="C338" s="103" t="s">
        <v>36</v>
      </c>
      <c r="D338" s="103" t="s">
        <v>37</v>
      </c>
      <c r="E338" s="103" t="s">
        <v>227</v>
      </c>
      <c r="F338" s="103" t="s">
        <v>293</v>
      </c>
      <c r="G338" s="99" t="s">
        <v>602</v>
      </c>
      <c r="H338" s="115" t="s">
        <v>23</v>
      </c>
      <c r="I338" s="121" t="s">
        <v>573</v>
      </c>
      <c r="J338" s="122">
        <v>2025</v>
      </c>
      <c r="K338" s="116" t="s">
        <v>28</v>
      </c>
      <c r="L338" s="103">
        <v>3</v>
      </c>
      <c r="M338" s="117"/>
      <c r="N338" s="117">
        <v>1000</v>
      </c>
      <c r="O338" s="118">
        <f t="shared" si="104"/>
        <v>5.3333333333333144</v>
      </c>
      <c r="P338" s="117">
        <v>435</v>
      </c>
      <c r="Q338" s="117">
        <v>445</v>
      </c>
      <c r="R338" s="117">
        <v>439</v>
      </c>
      <c r="S338" s="120">
        <f t="shared" si="105"/>
        <v>1440</v>
      </c>
      <c r="T338" s="118">
        <f t="shared" si="107"/>
        <v>439.66666666666669</v>
      </c>
      <c r="U338" s="100">
        <f t="shared" si="106"/>
        <v>31</v>
      </c>
      <c r="V338" s="104">
        <v>381</v>
      </c>
      <c r="W338" s="104">
        <v>3450</v>
      </c>
      <c r="X338" s="104" t="s">
        <v>56</v>
      </c>
      <c r="Y338" s="104" t="s">
        <v>42</v>
      </c>
      <c r="Z338" s="1"/>
      <c r="AA338" s="1"/>
    </row>
    <row r="339" spans="1:27" s="114" customFormat="1" ht="16.5" customHeight="1" thickBot="1" x14ac:dyDescent="0.25">
      <c r="A339" s="98">
        <v>332</v>
      </c>
      <c r="B339" s="102" t="s">
        <v>35</v>
      </c>
      <c r="C339" s="103" t="s">
        <v>36</v>
      </c>
      <c r="D339" s="103" t="s">
        <v>37</v>
      </c>
      <c r="E339" s="103" t="s">
        <v>227</v>
      </c>
      <c r="F339" s="103" t="s">
        <v>293</v>
      </c>
      <c r="G339" s="99" t="s">
        <v>284</v>
      </c>
      <c r="H339" s="115" t="s">
        <v>23</v>
      </c>
      <c r="I339" s="107"/>
      <c r="J339" s="108"/>
      <c r="K339" s="116" t="s">
        <v>28</v>
      </c>
      <c r="L339" s="103">
        <v>3</v>
      </c>
      <c r="M339" s="117">
        <v>3</v>
      </c>
      <c r="N339" s="117">
        <v>500</v>
      </c>
      <c r="O339" s="118">
        <f t="shared" si="104"/>
        <v>5</v>
      </c>
      <c r="P339" s="117">
        <v>353</v>
      </c>
      <c r="Q339" s="117">
        <v>341</v>
      </c>
      <c r="R339" s="117">
        <v>350</v>
      </c>
      <c r="S339" s="120">
        <f t="shared" si="105"/>
        <v>720</v>
      </c>
      <c r="T339" s="118">
        <f>(R339+Q339+P339)/3</f>
        <v>348</v>
      </c>
      <c r="U339" s="100">
        <f t="shared" si="106"/>
        <v>48</v>
      </c>
      <c r="V339" s="104">
        <v>381</v>
      </c>
      <c r="W339" s="104">
        <v>3450</v>
      </c>
      <c r="X339" s="104" t="s">
        <v>56</v>
      </c>
      <c r="Y339" s="104" t="s">
        <v>42</v>
      </c>
      <c r="Z339" s="1"/>
      <c r="AA339" s="1"/>
    </row>
    <row r="340" spans="1:27" s="49" customFormat="1" ht="16.5" customHeight="1" thickBot="1" x14ac:dyDescent="0.25">
      <c r="A340" s="84">
        <v>333</v>
      </c>
      <c r="B340" s="52" t="s">
        <v>35</v>
      </c>
      <c r="C340" s="41" t="s">
        <v>36</v>
      </c>
      <c r="D340" s="41" t="s">
        <v>37</v>
      </c>
      <c r="E340" s="41" t="s">
        <v>227</v>
      </c>
      <c r="F340" s="41" t="s">
        <v>296</v>
      </c>
      <c r="G340" s="42" t="s">
        <v>478</v>
      </c>
      <c r="H340" s="46" t="s">
        <v>26</v>
      </c>
      <c r="I340" s="62"/>
      <c r="J340" s="70"/>
      <c r="K340" s="66" t="s">
        <v>28</v>
      </c>
      <c r="L340" s="41">
        <v>3</v>
      </c>
      <c r="M340" s="47"/>
      <c r="N340" s="47">
        <v>630</v>
      </c>
      <c r="O340" s="43">
        <f t="shared" si="104"/>
        <v>8.3333333333333144</v>
      </c>
      <c r="P340" s="47">
        <v>386</v>
      </c>
      <c r="Q340" s="47">
        <v>405</v>
      </c>
      <c r="R340" s="47">
        <v>399</v>
      </c>
      <c r="S340" s="48">
        <f t="shared" si="105"/>
        <v>907.19999999999993</v>
      </c>
      <c r="T340" s="43">
        <f t="shared" ref="T340:T341" si="108">(R340+Q340+P340)/3</f>
        <v>396.66666666666669</v>
      </c>
      <c r="U340" s="44">
        <f t="shared" si="106"/>
        <v>44</v>
      </c>
      <c r="V340" s="45">
        <v>380</v>
      </c>
      <c r="W340" s="45">
        <v>3450</v>
      </c>
      <c r="X340" s="45" t="s">
        <v>56</v>
      </c>
      <c r="Y340" s="45" t="s">
        <v>42</v>
      </c>
      <c r="Z340" s="1">
        <f>Q340-0.5*R340-0.5*P340</f>
        <v>12.5</v>
      </c>
      <c r="AA340" s="1">
        <f t="shared" si="102"/>
        <v>11.258330249197684</v>
      </c>
    </row>
    <row r="341" spans="1:27" s="49" customFormat="1" ht="16.5" customHeight="1" thickBot="1" x14ac:dyDescent="0.25">
      <c r="A341" s="84">
        <v>334</v>
      </c>
      <c r="B341" s="52" t="s">
        <v>35</v>
      </c>
      <c r="C341" s="41" t="s">
        <v>36</v>
      </c>
      <c r="D341" s="41" t="s">
        <v>37</v>
      </c>
      <c r="E341" s="41" t="s">
        <v>227</v>
      </c>
      <c r="F341" s="41" t="s">
        <v>296</v>
      </c>
      <c r="G341" s="42" t="s">
        <v>479</v>
      </c>
      <c r="H341" s="46" t="s">
        <v>26</v>
      </c>
      <c r="I341" s="62"/>
      <c r="J341" s="70"/>
      <c r="K341" s="66" t="s">
        <v>28</v>
      </c>
      <c r="L341" s="41">
        <v>3</v>
      </c>
      <c r="M341" s="47"/>
      <c r="N341" s="47">
        <v>630</v>
      </c>
      <c r="O341" s="43">
        <f t="shared" si="104"/>
        <v>8.3333333333333144</v>
      </c>
      <c r="P341" s="47">
        <v>422</v>
      </c>
      <c r="Q341" s="47">
        <v>406</v>
      </c>
      <c r="R341" s="47">
        <v>413</v>
      </c>
      <c r="S341" s="48">
        <f t="shared" si="105"/>
        <v>907.19999999999993</v>
      </c>
      <c r="T341" s="43">
        <f t="shared" si="108"/>
        <v>413.66666666666669</v>
      </c>
      <c r="U341" s="44">
        <f t="shared" si="106"/>
        <v>46</v>
      </c>
      <c r="V341" s="45">
        <v>380</v>
      </c>
      <c r="W341" s="45">
        <v>3450</v>
      </c>
      <c r="X341" s="45" t="s">
        <v>56</v>
      </c>
      <c r="Y341" s="45" t="s">
        <v>42</v>
      </c>
      <c r="Z341" s="1">
        <f>Q341-0.5*R341-0.5*P341</f>
        <v>-11.5</v>
      </c>
      <c r="AA341" s="1">
        <f t="shared" si="102"/>
        <v>-7.794228634059948</v>
      </c>
    </row>
    <row r="342" spans="1:27" s="114" customFormat="1" ht="16.5" customHeight="1" thickBot="1" x14ac:dyDescent="0.3">
      <c r="A342" s="98">
        <v>335</v>
      </c>
      <c r="B342" s="102" t="s">
        <v>35</v>
      </c>
      <c r="C342" s="103" t="s">
        <v>36</v>
      </c>
      <c r="D342" s="103" t="s">
        <v>37</v>
      </c>
      <c r="E342" s="103" t="s">
        <v>227</v>
      </c>
      <c r="F342" s="103" t="s">
        <v>296</v>
      </c>
      <c r="G342" s="99" t="s">
        <v>297</v>
      </c>
      <c r="H342" s="115" t="s">
        <v>23</v>
      </c>
      <c r="I342" s="121" t="s">
        <v>591</v>
      </c>
      <c r="J342" s="122">
        <v>2013</v>
      </c>
      <c r="K342" s="116" t="s">
        <v>25</v>
      </c>
      <c r="L342" s="103">
        <v>3</v>
      </c>
      <c r="M342" s="117">
        <v>4</v>
      </c>
      <c r="N342" s="117">
        <v>1000</v>
      </c>
      <c r="O342" s="118">
        <f t="shared" si="104"/>
        <v>7</v>
      </c>
      <c r="P342" s="119">
        <v>580</v>
      </c>
      <c r="Q342" s="119">
        <v>572</v>
      </c>
      <c r="R342" s="119">
        <v>567</v>
      </c>
      <c r="S342" s="120">
        <f t="shared" si="105"/>
        <v>1440</v>
      </c>
      <c r="T342" s="118">
        <f t="shared" ref="T342:T350" si="109">(R342+Q342+P342)/3</f>
        <v>573</v>
      </c>
      <c r="U342" s="100">
        <f t="shared" si="106"/>
        <v>40</v>
      </c>
      <c r="V342" s="104">
        <v>381</v>
      </c>
      <c r="W342" s="104">
        <v>3450</v>
      </c>
      <c r="X342" s="104" t="s">
        <v>56</v>
      </c>
      <c r="Y342" s="104" t="s">
        <v>42</v>
      </c>
      <c r="Z342" s="1">
        <f>Q342-0.5*R342-0.5*P342</f>
        <v>-1.5</v>
      </c>
      <c r="AA342" s="1">
        <f t="shared" si="102"/>
        <v>-11.258330249197741</v>
      </c>
    </row>
    <row r="343" spans="1:27" s="49" customFormat="1" ht="16.5" customHeight="1" thickBot="1" x14ac:dyDescent="0.3">
      <c r="A343" s="84">
        <v>336</v>
      </c>
      <c r="B343" s="52" t="s">
        <v>35</v>
      </c>
      <c r="C343" s="41" t="s">
        <v>36</v>
      </c>
      <c r="D343" s="41" t="s">
        <v>37</v>
      </c>
      <c r="E343" s="41" t="s">
        <v>227</v>
      </c>
      <c r="F343" s="41" t="s">
        <v>296</v>
      </c>
      <c r="G343" s="42" t="s">
        <v>298</v>
      </c>
      <c r="H343" s="46" t="s">
        <v>23</v>
      </c>
      <c r="I343" s="63"/>
      <c r="J343" s="71"/>
      <c r="K343" s="66" t="s">
        <v>25</v>
      </c>
      <c r="L343" s="41">
        <v>3</v>
      </c>
      <c r="M343" s="47">
        <v>3</v>
      </c>
      <c r="N343" s="47">
        <v>500</v>
      </c>
      <c r="O343" s="43">
        <f t="shared" si="104"/>
        <v>6.3333333333333144</v>
      </c>
      <c r="P343" s="57">
        <v>378</v>
      </c>
      <c r="Q343" s="57">
        <v>372</v>
      </c>
      <c r="R343" s="57">
        <v>365</v>
      </c>
      <c r="S343" s="48">
        <f t="shared" si="105"/>
        <v>720</v>
      </c>
      <c r="T343" s="43">
        <f t="shared" si="109"/>
        <v>371.66666666666669</v>
      </c>
      <c r="U343" s="44">
        <f t="shared" si="106"/>
        <v>52</v>
      </c>
      <c r="V343" s="45">
        <v>380</v>
      </c>
      <c r="W343" s="45">
        <v>3450</v>
      </c>
      <c r="X343" s="45" t="s">
        <v>56</v>
      </c>
      <c r="Y343" s="45" t="s">
        <v>42</v>
      </c>
      <c r="Z343" s="1">
        <f>Q343-0.5*R343-0.5*P343</f>
        <v>0.5</v>
      </c>
      <c r="AA343" s="1">
        <f t="shared" si="102"/>
        <v>-11.258330249197741</v>
      </c>
    </row>
    <row r="344" spans="1:27" s="49" customFormat="1" ht="16.5" customHeight="1" thickBot="1" x14ac:dyDescent="0.3">
      <c r="A344" s="98">
        <v>337</v>
      </c>
      <c r="B344" s="102" t="s">
        <v>35</v>
      </c>
      <c r="C344" s="103" t="s">
        <v>36</v>
      </c>
      <c r="D344" s="103" t="s">
        <v>37</v>
      </c>
      <c r="E344" s="103" t="s">
        <v>227</v>
      </c>
      <c r="F344" s="103" t="s">
        <v>296</v>
      </c>
      <c r="G344" s="99" t="s">
        <v>269</v>
      </c>
      <c r="H344" s="115" t="s">
        <v>23</v>
      </c>
      <c r="I344" s="121"/>
      <c r="J344" s="122"/>
      <c r="K344" s="116" t="s">
        <v>25</v>
      </c>
      <c r="L344" s="103">
        <v>3</v>
      </c>
      <c r="M344" s="103">
        <v>4</v>
      </c>
      <c r="N344" s="117">
        <v>1000</v>
      </c>
      <c r="O344" s="118">
        <f t="shared" si="104"/>
        <v>6.3333333333333144</v>
      </c>
      <c r="P344" s="119">
        <v>448</v>
      </c>
      <c r="Q344" s="119">
        <v>455</v>
      </c>
      <c r="R344" s="119">
        <v>443</v>
      </c>
      <c r="S344" s="120">
        <f t="shared" si="105"/>
        <v>1440</v>
      </c>
      <c r="T344" s="118">
        <f t="shared" si="109"/>
        <v>448.66666666666669</v>
      </c>
      <c r="U344" s="100">
        <f t="shared" si="106"/>
        <v>31</v>
      </c>
      <c r="V344" s="104">
        <v>380</v>
      </c>
      <c r="W344" s="104">
        <v>3650</v>
      </c>
      <c r="X344" s="104" t="s">
        <v>56</v>
      </c>
      <c r="Y344" s="104" t="s">
        <v>42</v>
      </c>
      <c r="Z344" s="1"/>
      <c r="AA344" s="1"/>
    </row>
    <row r="345" spans="1:27" s="49" customFormat="1" ht="16.5" customHeight="1" thickBot="1" x14ac:dyDescent="0.3">
      <c r="A345" s="98">
        <v>338</v>
      </c>
      <c r="B345" s="102" t="s">
        <v>35</v>
      </c>
      <c r="C345" s="103" t="s">
        <v>36</v>
      </c>
      <c r="D345" s="103" t="s">
        <v>37</v>
      </c>
      <c r="E345" s="103" t="s">
        <v>227</v>
      </c>
      <c r="F345" s="103" t="s">
        <v>296</v>
      </c>
      <c r="G345" s="99" t="s">
        <v>270</v>
      </c>
      <c r="H345" s="115" t="s">
        <v>23</v>
      </c>
      <c r="I345" s="121"/>
      <c r="J345" s="122"/>
      <c r="K345" s="116" t="s">
        <v>25</v>
      </c>
      <c r="L345" s="103">
        <v>3</v>
      </c>
      <c r="M345" s="103">
        <v>2</v>
      </c>
      <c r="N345" s="117">
        <v>500</v>
      </c>
      <c r="O345" s="118">
        <f t="shared" si="104"/>
        <v>5.6666666666666572</v>
      </c>
      <c r="P345" s="119">
        <v>241</v>
      </c>
      <c r="Q345" s="119">
        <v>252</v>
      </c>
      <c r="R345" s="119">
        <v>246</v>
      </c>
      <c r="S345" s="120">
        <f t="shared" si="105"/>
        <v>720</v>
      </c>
      <c r="T345" s="118">
        <f t="shared" si="109"/>
        <v>246.33333333333334</v>
      </c>
      <c r="U345" s="100">
        <f t="shared" si="106"/>
        <v>34</v>
      </c>
      <c r="V345" s="104">
        <v>380</v>
      </c>
      <c r="W345" s="104">
        <v>3650</v>
      </c>
      <c r="X345" s="104" t="s">
        <v>56</v>
      </c>
      <c r="Y345" s="104" t="s">
        <v>42</v>
      </c>
      <c r="Z345" s="1"/>
      <c r="AA345" s="1"/>
    </row>
    <row r="346" spans="1:27" s="49" customFormat="1" ht="16.5" customHeight="1" thickBot="1" x14ac:dyDescent="0.3">
      <c r="A346" s="98">
        <v>339</v>
      </c>
      <c r="B346" s="102" t="s">
        <v>35</v>
      </c>
      <c r="C346" s="103" t="s">
        <v>36</v>
      </c>
      <c r="D346" s="103" t="s">
        <v>37</v>
      </c>
      <c r="E346" s="103" t="s">
        <v>227</v>
      </c>
      <c r="F346" s="103" t="s">
        <v>296</v>
      </c>
      <c r="G346" s="99" t="s">
        <v>299</v>
      </c>
      <c r="H346" s="115" t="s">
        <v>23</v>
      </c>
      <c r="I346" s="107" t="s">
        <v>573</v>
      </c>
      <c r="J346" s="108">
        <v>2018</v>
      </c>
      <c r="K346" s="116" t="s">
        <v>28</v>
      </c>
      <c r="L346" s="103">
        <v>3</v>
      </c>
      <c r="M346" s="117">
        <v>3</v>
      </c>
      <c r="N346" s="117">
        <v>800</v>
      </c>
      <c r="O346" s="118">
        <f t="shared" si="104"/>
        <v>6.3333333333333144</v>
      </c>
      <c r="P346" s="119">
        <v>429</v>
      </c>
      <c r="Q346" s="119">
        <v>416</v>
      </c>
      <c r="R346" s="119">
        <v>423</v>
      </c>
      <c r="S346" s="120">
        <f t="shared" si="105"/>
        <v>1152</v>
      </c>
      <c r="T346" s="118">
        <f t="shared" si="109"/>
        <v>422.66666666666669</v>
      </c>
      <c r="U346" s="100">
        <f t="shared" si="106"/>
        <v>37</v>
      </c>
      <c r="V346" s="104">
        <v>380</v>
      </c>
      <c r="W346" s="104">
        <v>3450</v>
      </c>
      <c r="X346" s="104" t="s">
        <v>56</v>
      </c>
      <c r="Y346" s="104" t="s">
        <v>42</v>
      </c>
      <c r="Z346" s="1">
        <f t="shared" ref="Z346:Z364" si="110">N346-0.5*R346-0.5*M346</f>
        <v>587</v>
      </c>
      <c r="AA346" s="1">
        <f t="shared" ref="AA346:AA364" si="111">SQRT(3)/2*R346-SQRT(3)/2*M346</f>
        <v>363.73066958946418</v>
      </c>
    </row>
    <row r="347" spans="1:27" s="49" customFormat="1" ht="16.5" customHeight="1" thickBot="1" x14ac:dyDescent="0.3">
      <c r="A347" s="98">
        <v>340</v>
      </c>
      <c r="B347" s="102" t="s">
        <v>35</v>
      </c>
      <c r="C347" s="103" t="s">
        <v>36</v>
      </c>
      <c r="D347" s="103" t="s">
        <v>37</v>
      </c>
      <c r="E347" s="103" t="s">
        <v>227</v>
      </c>
      <c r="F347" s="103" t="s">
        <v>296</v>
      </c>
      <c r="G347" s="99" t="s">
        <v>300</v>
      </c>
      <c r="H347" s="115" t="s">
        <v>23</v>
      </c>
      <c r="I347" s="107" t="s">
        <v>573</v>
      </c>
      <c r="J347" s="108">
        <v>1988</v>
      </c>
      <c r="K347" s="116" t="s">
        <v>28</v>
      </c>
      <c r="L347" s="103">
        <v>3</v>
      </c>
      <c r="M347" s="117">
        <v>3</v>
      </c>
      <c r="N347" s="117">
        <v>500</v>
      </c>
      <c r="O347" s="118">
        <f t="shared" si="104"/>
        <v>6.3333333333333144</v>
      </c>
      <c r="P347" s="119">
        <v>390</v>
      </c>
      <c r="Q347" s="119">
        <v>381</v>
      </c>
      <c r="R347" s="119">
        <v>395</v>
      </c>
      <c r="S347" s="120">
        <f t="shared" si="105"/>
        <v>720</v>
      </c>
      <c r="T347" s="118">
        <f t="shared" si="109"/>
        <v>388.66666666666669</v>
      </c>
      <c r="U347" s="100">
        <f t="shared" si="106"/>
        <v>54</v>
      </c>
      <c r="V347" s="104">
        <v>381</v>
      </c>
      <c r="W347" s="104">
        <v>3450</v>
      </c>
      <c r="X347" s="104" t="s">
        <v>56</v>
      </c>
      <c r="Y347" s="104" t="s">
        <v>42</v>
      </c>
      <c r="Z347" s="1">
        <f t="shared" si="110"/>
        <v>301</v>
      </c>
      <c r="AA347" s="1">
        <f t="shared" si="111"/>
        <v>339.48195828349992</v>
      </c>
    </row>
    <row r="348" spans="1:27" s="49" customFormat="1" ht="16.5" customHeight="1" thickBot="1" x14ac:dyDescent="0.3">
      <c r="A348" s="84">
        <v>341</v>
      </c>
      <c r="B348" s="52" t="s">
        <v>35</v>
      </c>
      <c r="C348" s="41" t="s">
        <v>36</v>
      </c>
      <c r="D348" s="41" t="s">
        <v>37</v>
      </c>
      <c r="E348" s="41" t="s">
        <v>227</v>
      </c>
      <c r="F348" s="41" t="s">
        <v>301</v>
      </c>
      <c r="G348" s="42" t="s">
        <v>302</v>
      </c>
      <c r="H348" s="46" t="s">
        <v>23</v>
      </c>
      <c r="I348" s="62"/>
      <c r="J348" s="70"/>
      <c r="K348" s="66" t="s">
        <v>28</v>
      </c>
      <c r="L348" s="41">
        <v>3</v>
      </c>
      <c r="M348" s="47">
        <v>2</v>
      </c>
      <c r="N348" s="47">
        <v>300</v>
      </c>
      <c r="O348" s="43">
        <f t="shared" si="104"/>
        <v>5</v>
      </c>
      <c r="P348" s="57">
        <v>183</v>
      </c>
      <c r="Q348" s="57">
        <v>171</v>
      </c>
      <c r="R348" s="57">
        <v>180</v>
      </c>
      <c r="S348" s="48">
        <f t="shared" si="105"/>
        <v>432</v>
      </c>
      <c r="T348" s="43">
        <f t="shared" si="109"/>
        <v>178</v>
      </c>
      <c r="U348" s="44">
        <f t="shared" si="106"/>
        <v>41</v>
      </c>
      <c r="V348" s="45">
        <v>382</v>
      </c>
      <c r="W348" s="45">
        <v>3650</v>
      </c>
      <c r="X348" s="45" t="s">
        <v>56</v>
      </c>
      <c r="Y348" s="45" t="s">
        <v>42</v>
      </c>
      <c r="Z348" s="1">
        <f t="shared" si="110"/>
        <v>209</v>
      </c>
      <c r="AA348" s="1">
        <f t="shared" si="111"/>
        <v>154.15252187363009</v>
      </c>
    </row>
    <row r="349" spans="1:27" s="49" customFormat="1" ht="16.5" customHeight="1" thickBot="1" x14ac:dyDescent="0.25">
      <c r="A349" s="84">
        <v>342</v>
      </c>
      <c r="B349" s="52" t="s">
        <v>35</v>
      </c>
      <c r="C349" s="41" t="s">
        <v>36</v>
      </c>
      <c r="D349" s="41" t="s">
        <v>37</v>
      </c>
      <c r="E349" s="41" t="s">
        <v>227</v>
      </c>
      <c r="F349" s="41" t="s">
        <v>301</v>
      </c>
      <c r="G349" s="42" t="s">
        <v>480</v>
      </c>
      <c r="H349" s="46" t="s">
        <v>26</v>
      </c>
      <c r="I349" s="62"/>
      <c r="J349" s="70"/>
      <c r="K349" s="66" t="s">
        <v>28</v>
      </c>
      <c r="L349" s="41">
        <v>3</v>
      </c>
      <c r="M349" s="47"/>
      <c r="N349" s="47">
        <v>1000</v>
      </c>
      <c r="O349" s="43">
        <f t="shared" si="104"/>
        <v>8.6666666666666288</v>
      </c>
      <c r="P349" s="47">
        <v>595</v>
      </c>
      <c r="Q349" s="47">
        <v>612</v>
      </c>
      <c r="R349" s="47">
        <v>603</v>
      </c>
      <c r="S349" s="48">
        <f t="shared" si="105"/>
        <v>1440</v>
      </c>
      <c r="T349" s="43">
        <f t="shared" si="109"/>
        <v>603.33333333333337</v>
      </c>
      <c r="U349" s="44">
        <f t="shared" si="106"/>
        <v>42</v>
      </c>
      <c r="V349" s="45">
        <v>382</v>
      </c>
      <c r="W349" s="45">
        <v>3650</v>
      </c>
      <c r="X349" s="45" t="s">
        <v>56</v>
      </c>
      <c r="Y349" s="45" t="s">
        <v>42</v>
      </c>
      <c r="Z349" s="1">
        <f t="shared" si="110"/>
        <v>698.5</v>
      </c>
      <c r="AA349" s="1">
        <f t="shared" si="111"/>
        <v>522.21331848201646</v>
      </c>
    </row>
    <row r="350" spans="1:27" s="49" customFormat="1" ht="16.5" customHeight="1" thickBot="1" x14ac:dyDescent="0.25">
      <c r="A350" s="84">
        <v>343</v>
      </c>
      <c r="B350" s="52" t="s">
        <v>35</v>
      </c>
      <c r="C350" s="41" t="s">
        <v>36</v>
      </c>
      <c r="D350" s="41" t="s">
        <v>37</v>
      </c>
      <c r="E350" s="41" t="s">
        <v>227</v>
      </c>
      <c r="F350" s="41" t="s">
        <v>301</v>
      </c>
      <c r="G350" s="42" t="s">
        <v>481</v>
      </c>
      <c r="H350" s="46" t="s">
        <v>26</v>
      </c>
      <c r="I350" s="62"/>
      <c r="J350" s="70"/>
      <c r="K350" s="66" t="s">
        <v>28</v>
      </c>
      <c r="L350" s="41">
        <v>3</v>
      </c>
      <c r="M350" s="47"/>
      <c r="N350" s="47">
        <v>1000</v>
      </c>
      <c r="O350" s="43">
        <f t="shared" si="104"/>
        <v>10</v>
      </c>
      <c r="P350" s="47">
        <v>595</v>
      </c>
      <c r="Q350" s="47">
        <v>579</v>
      </c>
      <c r="R350" s="47">
        <v>581</v>
      </c>
      <c r="S350" s="48">
        <f t="shared" si="105"/>
        <v>1440</v>
      </c>
      <c r="T350" s="43">
        <f t="shared" si="109"/>
        <v>585</v>
      </c>
      <c r="U350" s="44">
        <f t="shared" si="106"/>
        <v>41</v>
      </c>
      <c r="V350" s="45">
        <v>382</v>
      </c>
      <c r="W350" s="45">
        <v>3650</v>
      </c>
      <c r="X350" s="45" t="s">
        <v>56</v>
      </c>
      <c r="Y350" s="45" t="s">
        <v>42</v>
      </c>
      <c r="Z350" s="1">
        <f t="shared" si="110"/>
        <v>709.5</v>
      </c>
      <c r="AA350" s="1">
        <f t="shared" si="111"/>
        <v>503.16075959875883</v>
      </c>
    </row>
    <row r="351" spans="1:27" s="49" customFormat="1" ht="16.5" customHeight="1" thickBot="1" x14ac:dyDescent="0.3">
      <c r="A351" s="98">
        <v>344</v>
      </c>
      <c r="B351" s="102" t="s">
        <v>35</v>
      </c>
      <c r="C351" s="103" t="s">
        <v>36</v>
      </c>
      <c r="D351" s="103" t="s">
        <v>37</v>
      </c>
      <c r="E351" s="103" t="s">
        <v>227</v>
      </c>
      <c r="F351" s="103" t="s">
        <v>303</v>
      </c>
      <c r="G351" s="99" t="s">
        <v>303</v>
      </c>
      <c r="H351" s="115" t="s">
        <v>23</v>
      </c>
      <c r="I351" s="126" t="s">
        <v>596</v>
      </c>
      <c r="J351" s="108">
        <v>2018</v>
      </c>
      <c r="K351" s="116" t="s">
        <v>28</v>
      </c>
      <c r="L351" s="103">
        <v>3</v>
      </c>
      <c r="M351" s="117"/>
      <c r="N351" s="117">
        <v>1500</v>
      </c>
      <c r="O351" s="118">
        <f t="shared" si="104"/>
        <v>5.3333333333333712</v>
      </c>
      <c r="P351" s="119">
        <v>672</v>
      </c>
      <c r="Q351" s="119">
        <v>662</v>
      </c>
      <c r="R351" s="119">
        <v>675</v>
      </c>
      <c r="S351" s="120">
        <f t="shared" ref="S351:S369" si="112">1.44*N351</f>
        <v>2160</v>
      </c>
      <c r="T351" s="118">
        <f t="shared" ref="T351:T369" si="113">(R351+Q351+P351)/3</f>
        <v>669.66666666666663</v>
      </c>
      <c r="U351" s="100">
        <f t="shared" si="106"/>
        <v>31</v>
      </c>
      <c r="V351" s="104">
        <v>381</v>
      </c>
      <c r="W351" s="104">
        <v>2840</v>
      </c>
      <c r="X351" s="104" t="s">
        <v>41</v>
      </c>
      <c r="Y351" s="104" t="s">
        <v>42</v>
      </c>
      <c r="Z351" s="1">
        <f t="shared" si="110"/>
        <v>1162.5</v>
      </c>
      <c r="AA351" s="1">
        <f t="shared" si="111"/>
        <v>584.56714755449605</v>
      </c>
    </row>
    <row r="352" spans="1:27" s="49" customFormat="1" ht="16.5" customHeight="1" thickBot="1" x14ac:dyDescent="0.3">
      <c r="A352" s="98">
        <v>345</v>
      </c>
      <c r="B352" s="102" t="s">
        <v>35</v>
      </c>
      <c r="C352" s="103" t="s">
        <v>36</v>
      </c>
      <c r="D352" s="103" t="s">
        <v>37</v>
      </c>
      <c r="E352" s="103" t="s">
        <v>227</v>
      </c>
      <c r="F352" s="103" t="s">
        <v>303</v>
      </c>
      <c r="G352" s="99" t="s">
        <v>304</v>
      </c>
      <c r="H352" s="115" t="s">
        <v>23</v>
      </c>
      <c r="I352" s="126" t="s">
        <v>596</v>
      </c>
      <c r="J352" s="108">
        <v>2018</v>
      </c>
      <c r="K352" s="116" t="s">
        <v>28</v>
      </c>
      <c r="L352" s="103">
        <v>3</v>
      </c>
      <c r="M352" s="117"/>
      <c r="N352" s="117">
        <v>1500</v>
      </c>
      <c r="O352" s="118">
        <f t="shared" si="104"/>
        <v>6.6666666666666288</v>
      </c>
      <c r="P352" s="119">
        <v>655</v>
      </c>
      <c r="Q352" s="119">
        <v>666</v>
      </c>
      <c r="R352" s="119">
        <v>657</v>
      </c>
      <c r="S352" s="120">
        <f t="shared" si="112"/>
        <v>2160</v>
      </c>
      <c r="T352" s="118">
        <f t="shared" si="113"/>
        <v>659.33333333333337</v>
      </c>
      <c r="U352" s="100">
        <f t="shared" si="106"/>
        <v>31</v>
      </c>
      <c r="V352" s="104">
        <v>381</v>
      </c>
      <c r="W352" s="104">
        <v>2840</v>
      </c>
      <c r="X352" s="104" t="s">
        <v>41</v>
      </c>
      <c r="Y352" s="104" t="s">
        <v>42</v>
      </c>
      <c r="Z352" s="1">
        <f t="shared" si="110"/>
        <v>1171.5</v>
      </c>
      <c r="AA352" s="1">
        <f t="shared" si="111"/>
        <v>568.97869028637615</v>
      </c>
    </row>
    <row r="353" spans="1:27" s="49" customFormat="1" ht="16.5" customHeight="1" thickBot="1" x14ac:dyDescent="0.3">
      <c r="A353" s="98">
        <v>346</v>
      </c>
      <c r="B353" s="102" t="s">
        <v>35</v>
      </c>
      <c r="C353" s="103" t="s">
        <v>36</v>
      </c>
      <c r="D353" s="103" t="s">
        <v>37</v>
      </c>
      <c r="E353" s="103" t="s">
        <v>227</v>
      </c>
      <c r="F353" s="103" t="s">
        <v>304</v>
      </c>
      <c r="G353" s="99" t="s">
        <v>305</v>
      </c>
      <c r="H353" s="115" t="s">
        <v>23</v>
      </c>
      <c r="I353" s="126" t="s">
        <v>596</v>
      </c>
      <c r="J353" s="108">
        <v>2018</v>
      </c>
      <c r="K353" s="116" t="s">
        <v>28</v>
      </c>
      <c r="L353" s="103">
        <v>3</v>
      </c>
      <c r="M353" s="117"/>
      <c r="N353" s="117">
        <v>1500</v>
      </c>
      <c r="O353" s="118">
        <f t="shared" si="104"/>
        <v>6.6666666666666288</v>
      </c>
      <c r="P353" s="119">
        <v>665</v>
      </c>
      <c r="Q353" s="119">
        <v>673</v>
      </c>
      <c r="R353" s="119">
        <v>661</v>
      </c>
      <c r="S353" s="120">
        <f t="shared" si="112"/>
        <v>2160</v>
      </c>
      <c r="T353" s="118">
        <f t="shared" si="113"/>
        <v>666.33333333333337</v>
      </c>
      <c r="U353" s="100">
        <f t="shared" si="106"/>
        <v>31</v>
      </c>
      <c r="V353" s="104">
        <v>380</v>
      </c>
      <c r="W353" s="104">
        <v>3650</v>
      </c>
      <c r="X353" s="104" t="s">
        <v>56</v>
      </c>
      <c r="Y353" s="104" t="s">
        <v>42</v>
      </c>
      <c r="Z353" s="1">
        <f t="shared" si="110"/>
        <v>1169.5</v>
      </c>
      <c r="AA353" s="1">
        <f t="shared" si="111"/>
        <v>572.44279190151394</v>
      </c>
    </row>
    <row r="354" spans="1:27" s="49" customFormat="1" ht="16.5" customHeight="1" thickBot="1" x14ac:dyDescent="0.3">
      <c r="A354" s="98">
        <v>347</v>
      </c>
      <c r="B354" s="102" t="s">
        <v>35</v>
      </c>
      <c r="C354" s="103" t="s">
        <v>36</v>
      </c>
      <c r="D354" s="103" t="s">
        <v>37</v>
      </c>
      <c r="E354" s="103" t="s">
        <v>306</v>
      </c>
      <c r="F354" s="103" t="s">
        <v>198</v>
      </c>
      <c r="G354" s="99" t="s">
        <v>307</v>
      </c>
      <c r="H354" s="115" t="s">
        <v>23</v>
      </c>
      <c r="I354" s="107"/>
      <c r="J354" s="108"/>
      <c r="K354" s="116" t="s">
        <v>28</v>
      </c>
      <c r="L354" s="103">
        <v>3</v>
      </c>
      <c r="M354" s="117"/>
      <c r="N354" s="117">
        <v>1000</v>
      </c>
      <c r="O354" s="118">
        <f t="shared" si="104"/>
        <v>6.3333333333333144</v>
      </c>
      <c r="P354" s="119">
        <v>476</v>
      </c>
      <c r="Q354" s="119">
        <v>462</v>
      </c>
      <c r="R354" s="119">
        <v>471</v>
      </c>
      <c r="S354" s="120">
        <f t="shared" si="112"/>
        <v>1440</v>
      </c>
      <c r="T354" s="118">
        <f t="shared" si="113"/>
        <v>469.66666666666669</v>
      </c>
      <c r="U354" s="100">
        <f t="shared" si="106"/>
        <v>33</v>
      </c>
      <c r="V354" s="104">
        <v>381</v>
      </c>
      <c r="W354" s="104">
        <v>3150</v>
      </c>
      <c r="X354" s="104" t="s">
        <v>41</v>
      </c>
      <c r="Y354" s="104" t="s">
        <v>42</v>
      </c>
      <c r="Z354" s="1">
        <f t="shared" si="110"/>
        <v>764.5</v>
      </c>
      <c r="AA354" s="1">
        <f t="shared" si="111"/>
        <v>407.89796518247056</v>
      </c>
    </row>
    <row r="355" spans="1:27" s="49" customFormat="1" ht="16.5" customHeight="1" thickBot="1" x14ac:dyDescent="0.3">
      <c r="A355" s="98">
        <v>348</v>
      </c>
      <c r="B355" s="102" t="s">
        <v>35</v>
      </c>
      <c r="C355" s="103" t="s">
        <v>36</v>
      </c>
      <c r="D355" s="103" t="s">
        <v>37</v>
      </c>
      <c r="E355" s="103" t="s">
        <v>306</v>
      </c>
      <c r="F355" s="103" t="s">
        <v>198</v>
      </c>
      <c r="G355" s="99" t="s">
        <v>308</v>
      </c>
      <c r="H355" s="115" t="s">
        <v>23</v>
      </c>
      <c r="I355" s="107"/>
      <c r="J355" s="108"/>
      <c r="K355" s="116" t="s">
        <v>28</v>
      </c>
      <c r="L355" s="103">
        <v>3</v>
      </c>
      <c r="M355" s="117"/>
      <c r="N355" s="117">
        <v>1000</v>
      </c>
      <c r="O355" s="118">
        <f t="shared" si="104"/>
        <v>6.6666666666666856</v>
      </c>
      <c r="P355" s="119">
        <v>455</v>
      </c>
      <c r="Q355" s="119">
        <v>464</v>
      </c>
      <c r="R355" s="119">
        <v>453</v>
      </c>
      <c r="S355" s="120">
        <f t="shared" si="112"/>
        <v>1440</v>
      </c>
      <c r="T355" s="118">
        <f t="shared" si="113"/>
        <v>457.33333333333331</v>
      </c>
      <c r="U355" s="100">
        <f t="shared" si="106"/>
        <v>32</v>
      </c>
      <c r="V355" s="104">
        <v>382</v>
      </c>
      <c r="W355" s="104">
        <v>3150</v>
      </c>
      <c r="X355" s="104" t="s">
        <v>41</v>
      </c>
      <c r="Y355" s="104" t="s">
        <v>42</v>
      </c>
      <c r="Z355" s="1">
        <f t="shared" si="110"/>
        <v>773.5</v>
      </c>
      <c r="AA355" s="1">
        <f t="shared" si="111"/>
        <v>392.30950791435066</v>
      </c>
    </row>
    <row r="356" spans="1:27" s="49" customFormat="1" ht="16.5" customHeight="1" thickBot="1" x14ac:dyDescent="0.3">
      <c r="A356" s="98">
        <v>349</v>
      </c>
      <c r="B356" s="102" t="s">
        <v>35</v>
      </c>
      <c r="C356" s="103" t="s">
        <v>36</v>
      </c>
      <c r="D356" s="103" t="s">
        <v>37</v>
      </c>
      <c r="E356" s="103" t="s">
        <v>306</v>
      </c>
      <c r="F356" s="103" t="s">
        <v>198</v>
      </c>
      <c r="G356" s="99" t="s">
        <v>309</v>
      </c>
      <c r="H356" s="115" t="s">
        <v>23</v>
      </c>
      <c r="I356" s="107"/>
      <c r="J356" s="108"/>
      <c r="K356" s="116" t="s">
        <v>28</v>
      </c>
      <c r="L356" s="103">
        <v>3</v>
      </c>
      <c r="M356" s="117"/>
      <c r="N356" s="117">
        <v>1000</v>
      </c>
      <c r="O356" s="118">
        <f t="shared" si="104"/>
        <v>5.3333333333333144</v>
      </c>
      <c r="P356" s="119">
        <v>450</v>
      </c>
      <c r="Q356" s="119">
        <v>439</v>
      </c>
      <c r="R356" s="119">
        <v>445</v>
      </c>
      <c r="S356" s="120">
        <f t="shared" si="112"/>
        <v>1440</v>
      </c>
      <c r="T356" s="118">
        <f t="shared" si="113"/>
        <v>444.66666666666669</v>
      </c>
      <c r="U356" s="100">
        <f t="shared" si="106"/>
        <v>31</v>
      </c>
      <c r="V356" s="104">
        <v>382</v>
      </c>
      <c r="W356" s="104">
        <v>3150</v>
      </c>
      <c r="X356" s="104" t="s">
        <v>41</v>
      </c>
      <c r="Y356" s="104" t="s">
        <v>42</v>
      </c>
      <c r="Z356" s="1">
        <f t="shared" si="110"/>
        <v>777.5</v>
      </c>
      <c r="AA356" s="1">
        <f t="shared" si="111"/>
        <v>385.38130468407519</v>
      </c>
    </row>
    <row r="357" spans="1:27" s="49" customFormat="1" ht="16.5" customHeight="1" thickBot="1" x14ac:dyDescent="0.3">
      <c r="A357" s="98">
        <v>350</v>
      </c>
      <c r="B357" s="102" t="s">
        <v>35</v>
      </c>
      <c r="C357" s="103" t="s">
        <v>36</v>
      </c>
      <c r="D357" s="103" t="s">
        <v>37</v>
      </c>
      <c r="E357" s="103" t="s">
        <v>306</v>
      </c>
      <c r="F357" s="103" t="s">
        <v>198</v>
      </c>
      <c r="G357" s="99" t="s">
        <v>310</v>
      </c>
      <c r="H357" s="115" t="s">
        <v>23</v>
      </c>
      <c r="I357" s="107"/>
      <c r="J357" s="108"/>
      <c r="K357" s="116" t="s">
        <v>28</v>
      </c>
      <c r="L357" s="103">
        <v>3</v>
      </c>
      <c r="M357" s="117"/>
      <c r="N357" s="117">
        <v>1000</v>
      </c>
      <c r="O357" s="118">
        <f t="shared" si="104"/>
        <v>7.3333333333333144</v>
      </c>
      <c r="P357" s="119">
        <v>449</v>
      </c>
      <c r="Q357" s="119">
        <v>455</v>
      </c>
      <c r="R357" s="119">
        <v>439</v>
      </c>
      <c r="S357" s="120">
        <f t="shared" si="112"/>
        <v>1440</v>
      </c>
      <c r="T357" s="118">
        <f t="shared" si="113"/>
        <v>447.66666666666669</v>
      </c>
      <c r="U357" s="100">
        <f t="shared" si="106"/>
        <v>31</v>
      </c>
      <c r="V357" s="104">
        <v>381</v>
      </c>
      <c r="W357" s="104">
        <v>3150</v>
      </c>
      <c r="X357" s="104" t="s">
        <v>41</v>
      </c>
      <c r="Y357" s="104" t="s">
        <v>42</v>
      </c>
      <c r="Z357" s="1">
        <f t="shared" si="110"/>
        <v>780.5</v>
      </c>
      <c r="AA357" s="1">
        <f t="shared" si="111"/>
        <v>380.18515226136856</v>
      </c>
    </row>
    <row r="358" spans="1:27" s="49" customFormat="1" ht="16.5" customHeight="1" thickBot="1" x14ac:dyDescent="0.3">
      <c r="A358" s="98">
        <v>351</v>
      </c>
      <c r="B358" s="102" t="s">
        <v>35</v>
      </c>
      <c r="C358" s="103" t="s">
        <v>36</v>
      </c>
      <c r="D358" s="103" t="s">
        <v>37</v>
      </c>
      <c r="E358" s="103" t="s">
        <v>306</v>
      </c>
      <c r="F358" s="103" t="s">
        <v>198</v>
      </c>
      <c r="G358" s="99" t="s">
        <v>311</v>
      </c>
      <c r="H358" s="115" t="s">
        <v>23</v>
      </c>
      <c r="I358" s="107"/>
      <c r="J358" s="108"/>
      <c r="K358" s="116" t="s">
        <v>28</v>
      </c>
      <c r="L358" s="103">
        <v>3</v>
      </c>
      <c r="M358" s="117"/>
      <c r="N358" s="117">
        <v>1000</v>
      </c>
      <c r="O358" s="118">
        <f t="shared" si="104"/>
        <v>6</v>
      </c>
      <c r="P358" s="119">
        <v>446</v>
      </c>
      <c r="Q358" s="119">
        <v>450</v>
      </c>
      <c r="R358" s="119">
        <v>436</v>
      </c>
      <c r="S358" s="120">
        <f t="shared" si="112"/>
        <v>1440</v>
      </c>
      <c r="T358" s="118">
        <f t="shared" si="113"/>
        <v>444</v>
      </c>
      <c r="U358" s="100">
        <f t="shared" si="106"/>
        <v>31</v>
      </c>
      <c r="V358" s="104">
        <v>380</v>
      </c>
      <c r="W358" s="104">
        <v>3150</v>
      </c>
      <c r="X358" s="104" t="s">
        <v>41</v>
      </c>
      <c r="Y358" s="104" t="s">
        <v>42</v>
      </c>
      <c r="Z358" s="1">
        <f t="shared" si="110"/>
        <v>782</v>
      </c>
      <c r="AA358" s="1">
        <f t="shared" si="111"/>
        <v>377.58707605001524</v>
      </c>
    </row>
    <row r="359" spans="1:27" s="49" customFormat="1" ht="16.5" customHeight="1" thickBot="1" x14ac:dyDescent="0.3">
      <c r="A359" s="98">
        <v>352</v>
      </c>
      <c r="B359" s="102" t="s">
        <v>35</v>
      </c>
      <c r="C359" s="103" t="s">
        <v>36</v>
      </c>
      <c r="D359" s="103" t="s">
        <v>37</v>
      </c>
      <c r="E359" s="103" t="s">
        <v>306</v>
      </c>
      <c r="F359" s="103" t="s">
        <v>198</v>
      </c>
      <c r="G359" s="99" t="s">
        <v>312</v>
      </c>
      <c r="H359" s="115" t="s">
        <v>23</v>
      </c>
      <c r="I359" s="107"/>
      <c r="J359" s="108"/>
      <c r="K359" s="116" t="s">
        <v>28</v>
      </c>
      <c r="L359" s="103">
        <v>3</v>
      </c>
      <c r="M359" s="117"/>
      <c r="N359" s="117">
        <v>1000</v>
      </c>
      <c r="O359" s="118">
        <f t="shared" si="104"/>
        <v>5.6666666666666856</v>
      </c>
      <c r="P359" s="119">
        <v>456</v>
      </c>
      <c r="Q359" s="119">
        <v>442</v>
      </c>
      <c r="R359" s="119">
        <v>453</v>
      </c>
      <c r="S359" s="120">
        <f t="shared" si="112"/>
        <v>1440</v>
      </c>
      <c r="T359" s="118">
        <f t="shared" si="113"/>
        <v>450.33333333333331</v>
      </c>
      <c r="U359" s="100">
        <f t="shared" si="106"/>
        <v>31</v>
      </c>
      <c r="V359" s="104">
        <v>381</v>
      </c>
      <c r="W359" s="104">
        <v>3150</v>
      </c>
      <c r="X359" s="104" t="s">
        <v>41</v>
      </c>
      <c r="Y359" s="104" t="s">
        <v>42</v>
      </c>
      <c r="Z359" s="1">
        <f t="shared" si="110"/>
        <v>773.5</v>
      </c>
      <c r="AA359" s="1">
        <f t="shared" si="111"/>
        <v>392.30950791435066</v>
      </c>
    </row>
    <row r="360" spans="1:27" s="49" customFormat="1" ht="16.5" customHeight="1" thickBot="1" x14ac:dyDescent="0.3">
      <c r="A360" s="98">
        <v>353</v>
      </c>
      <c r="B360" s="102" t="s">
        <v>35</v>
      </c>
      <c r="C360" s="103" t="s">
        <v>36</v>
      </c>
      <c r="D360" s="103" t="s">
        <v>37</v>
      </c>
      <c r="E360" s="103" t="s">
        <v>306</v>
      </c>
      <c r="F360" s="103" t="s">
        <v>313</v>
      </c>
      <c r="G360" s="99" t="s">
        <v>314</v>
      </c>
      <c r="H360" s="115" t="s">
        <v>23</v>
      </c>
      <c r="I360" s="107"/>
      <c r="J360" s="108"/>
      <c r="K360" s="116" t="s">
        <v>28</v>
      </c>
      <c r="L360" s="103">
        <v>3</v>
      </c>
      <c r="M360" s="117"/>
      <c r="N360" s="117">
        <v>1000</v>
      </c>
      <c r="O360" s="118">
        <f t="shared" si="104"/>
        <v>7</v>
      </c>
      <c r="P360" s="119">
        <v>474</v>
      </c>
      <c r="Q360" s="119">
        <v>483</v>
      </c>
      <c r="R360" s="119">
        <v>471</v>
      </c>
      <c r="S360" s="120">
        <f t="shared" si="112"/>
        <v>1440</v>
      </c>
      <c r="T360" s="118">
        <f t="shared" si="113"/>
        <v>476</v>
      </c>
      <c r="U360" s="100">
        <f t="shared" si="106"/>
        <v>33</v>
      </c>
      <c r="V360" s="104">
        <v>381</v>
      </c>
      <c r="W360" s="104">
        <v>3150</v>
      </c>
      <c r="X360" s="104" t="s">
        <v>41</v>
      </c>
      <c r="Y360" s="104" t="s">
        <v>42</v>
      </c>
      <c r="Z360" s="1">
        <f t="shared" si="110"/>
        <v>764.5</v>
      </c>
      <c r="AA360" s="1">
        <f t="shared" si="111"/>
        <v>407.89796518247056</v>
      </c>
    </row>
    <row r="361" spans="1:27" s="49" customFormat="1" ht="16.5" customHeight="1" thickBot="1" x14ac:dyDescent="0.3">
      <c r="A361" s="98">
        <v>354</v>
      </c>
      <c r="B361" s="102" t="s">
        <v>35</v>
      </c>
      <c r="C361" s="103" t="s">
        <v>36</v>
      </c>
      <c r="D361" s="103" t="s">
        <v>37</v>
      </c>
      <c r="E361" s="103" t="s">
        <v>306</v>
      </c>
      <c r="F361" s="103" t="s">
        <v>313</v>
      </c>
      <c r="G361" s="99" t="s">
        <v>315</v>
      </c>
      <c r="H361" s="115" t="s">
        <v>23</v>
      </c>
      <c r="I361" s="107"/>
      <c r="J361" s="108"/>
      <c r="K361" s="116" t="s">
        <v>28</v>
      </c>
      <c r="L361" s="103">
        <v>3</v>
      </c>
      <c r="M361" s="117"/>
      <c r="N361" s="117">
        <v>1000</v>
      </c>
      <c r="O361" s="118">
        <f t="shared" si="104"/>
        <v>6.3333333333333144</v>
      </c>
      <c r="P361" s="119">
        <v>468</v>
      </c>
      <c r="Q361" s="119">
        <v>455</v>
      </c>
      <c r="R361" s="119">
        <v>462</v>
      </c>
      <c r="S361" s="120">
        <f t="shared" si="112"/>
        <v>1440</v>
      </c>
      <c r="T361" s="118">
        <f t="shared" si="113"/>
        <v>461.66666666666669</v>
      </c>
      <c r="U361" s="100">
        <f t="shared" si="106"/>
        <v>32</v>
      </c>
      <c r="V361" s="104">
        <v>382</v>
      </c>
      <c r="W361" s="104">
        <v>3150</v>
      </c>
      <c r="X361" s="104" t="s">
        <v>41</v>
      </c>
      <c r="Y361" s="104" t="s">
        <v>42</v>
      </c>
      <c r="Z361" s="1">
        <f t="shared" si="110"/>
        <v>769</v>
      </c>
      <c r="AA361" s="1">
        <f t="shared" si="111"/>
        <v>400.10373654841061</v>
      </c>
    </row>
    <row r="362" spans="1:27" s="49" customFormat="1" ht="16.5" customHeight="1" thickBot="1" x14ac:dyDescent="0.3">
      <c r="A362" s="98">
        <v>355</v>
      </c>
      <c r="B362" s="102" t="s">
        <v>35</v>
      </c>
      <c r="C362" s="103" t="s">
        <v>36</v>
      </c>
      <c r="D362" s="103" t="s">
        <v>37</v>
      </c>
      <c r="E362" s="103" t="s">
        <v>306</v>
      </c>
      <c r="F362" s="103" t="s">
        <v>313</v>
      </c>
      <c r="G362" s="99" t="s">
        <v>316</v>
      </c>
      <c r="H362" s="115" t="s">
        <v>23</v>
      </c>
      <c r="I362" s="107"/>
      <c r="J362" s="108"/>
      <c r="K362" s="116" t="s">
        <v>28</v>
      </c>
      <c r="L362" s="103">
        <v>3</v>
      </c>
      <c r="M362" s="117"/>
      <c r="N362" s="117">
        <v>1000</v>
      </c>
      <c r="O362" s="118">
        <f t="shared" si="104"/>
        <v>7.6666666666666856</v>
      </c>
      <c r="P362" s="119">
        <v>470</v>
      </c>
      <c r="Q362" s="119">
        <v>461</v>
      </c>
      <c r="R362" s="119">
        <v>477</v>
      </c>
      <c r="S362" s="120">
        <f t="shared" si="112"/>
        <v>1440</v>
      </c>
      <c r="T362" s="118">
        <f t="shared" si="113"/>
        <v>469.33333333333331</v>
      </c>
      <c r="U362" s="100">
        <f t="shared" si="106"/>
        <v>33</v>
      </c>
      <c r="V362" s="104">
        <v>381</v>
      </c>
      <c r="W362" s="104">
        <v>3150</v>
      </c>
      <c r="X362" s="104" t="s">
        <v>41</v>
      </c>
      <c r="Y362" s="104" t="s">
        <v>42</v>
      </c>
      <c r="Z362" s="1">
        <f t="shared" si="110"/>
        <v>761.5</v>
      </c>
      <c r="AA362" s="1">
        <f t="shared" si="111"/>
        <v>413.09411760517719</v>
      </c>
    </row>
    <row r="363" spans="1:27" s="49" customFormat="1" ht="16.5" customHeight="1" thickBot="1" x14ac:dyDescent="0.25">
      <c r="A363" s="98">
        <v>356</v>
      </c>
      <c r="B363" s="102" t="s">
        <v>35</v>
      </c>
      <c r="C363" s="103" t="s">
        <v>36</v>
      </c>
      <c r="D363" s="103" t="s">
        <v>37</v>
      </c>
      <c r="E363" s="103" t="s">
        <v>306</v>
      </c>
      <c r="F363" s="103" t="s">
        <v>201</v>
      </c>
      <c r="G363" s="99" t="s">
        <v>318</v>
      </c>
      <c r="H363" s="115" t="s">
        <v>23</v>
      </c>
      <c r="I363" s="121" t="s">
        <v>573</v>
      </c>
      <c r="J363" s="122">
        <v>2011</v>
      </c>
      <c r="K363" s="116" t="s">
        <v>25</v>
      </c>
      <c r="L363" s="103">
        <v>3</v>
      </c>
      <c r="M363" s="117">
        <v>3</v>
      </c>
      <c r="N363" s="117">
        <v>1000</v>
      </c>
      <c r="O363" s="118">
        <f t="shared" si="104"/>
        <v>7</v>
      </c>
      <c r="P363" s="117">
        <v>439</v>
      </c>
      <c r="Q363" s="117">
        <v>448</v>
      </c>
      <c r="R363" s="117">
        <v>436</v>
      </c>
      <c r="S363" s="120">
        <f t="shared" si="112"/>
        <v>1440</v>
      </c>
      <c r="T363" s="118">
        <f t="shared" si="113"/>
        <v>441</v>
      </c>
      <c r="U363" s="100">
        <f t="shared" si="106"/>
        <v>31</v>
      </c>
      <c r="V363" s="104">
        <v>382</v>
      </c>
      <c r="W363" s="104">
        <v>3150</v>
      </c>
      <c r="X363" s="104" t="s">
        <v>41</v>
      </c>
      <c r="Y363" s="104" t="s">
        <v>42</v>
      </c>
      <c r="Z363" s="1">
        <f t="shared" si="110"/>
        <v>780.5</v>
      </c>
      <c r="AA363" s="1">
        <f t="shared" si="111"/>
        <v>374.98899983866193</v>
      </c>
    </row>
    <row r="364" spans="1:27" s="49" customFormat="1" ht="16.5" customHeight="1" thickBot="1" x14ac:dyDescent="0.25">
      <c r="A364" s="98">
        <v>357</v>
      </c>
      <c r="B364" s="102" t="s">
        <v>35</v>
      </c>
      <c r="C364" s="103" t="s">
        <v>36</v>
      </c>
      <c r="D364" s="103" t="s">
        <v>37</v>
      </c>
      <c r="E364" s="103" t="s">
        <v>306</v>
      </c>
      <c r="F364" s="103" t="s">
        <v>201</v>
      </c>
      <c r="G364" s="99" t="s">
        <v>319</v>
      </c>
      <c r="H364" s="115" t="s">
        <v>23</v>
      </c>
      <c r="I364" s="121" t="s">
        <v>573</v>
      </c>
      <c r="J364" s="122">
        <v>2011</v>
      </c>
      <c r="K364" s="116" t="s">
        <v>25</v>
      </c>
      <c r="L364" s="103">
        <v>3</v>
      </c>
      <c r="M364" s="117">
        <v>4</v>
      </c>
      <c r="N364" s="117">
        <v>1000</v>
      </c>
      <c r="O364" s="118">
        <f t="shared" si="104"/>
        <v>7</v>
      </c>
      <c r="P364" s="117">
        <v>478</v>
      </c>
      <c r="Q364" s="117">
        <v>462</v>
      </c>
      <c r="R364" s="117">
        <v>473</v>
      </c>
      <c r="S364" s="120">
        <f t="shared" si="112"/>
        <v>1440</v>
      </c>
      <c r="T364" s="118">
        <f t="shared" si="113"/>
        <v>471</v>
      </c>
      <c r="U364" s="100">
        <f t="shared" si="106"/>
        <v>33</v>
      </c>
      <c r="V364" s="104">
        <v>380</v>
      </c>
      <c r="W364" s="104">
        <v>3150</v>
      </c>
      <c r="X364" s="104" t="s">
        <v>41</v>
      </c>
      <c r="Y364" s="104" t="s">
        <v>42</v>
      </c>
      <c r="Z364" s="1">
        <f t="shared" si="110"/>
        <v>761.5</v>
      </c>
      <c r="AA364" s="1">
        <f t="shared" si="111"/>
        <v>406.16591437490172</v>
      </c>
    </row>
    <row r="365" spans="1:27" s="49" customFormat="1" ht="16.5" customHeight="1" thickBot="1" x14ac:dyDescent="0.25">
      <c r="A365" s="98">
        <v>358</v>
      </c>
      <c r="B365" s="102" t="s">
        <v>35</v>
      </c>
      <c r="C365" s="103" t="s">
        <v>36</v>
      </c>
      <c r="D365" s="103" t="s">
        <v>37</v>
      </c>
      <c r="E365" s="103" t="s">
        <v>306</v>
      </c>
      <c r="F365" s="103" t="s">
        <v>201</v>
      </c>
      <c r="G365" s="99" t="s">
        <v>317</v>
      </c>
      <c r="H365" s="115" t="s">
        <v>23</v>
      </c>
      <c r="I365" s="121" t="s">
        <v>573</v>
      </c>
      <c r="J365" s="122">
        <v>2011</v>
      </c>
      <c r="K365" s="116" t="s">
        <v>25</v>
      </c>
      <c r="L365" s="103">
        <v>3</v>
      </c>
      <c r="M365" s="117">
        <v>4</v>
      </c>
      <c r="N365" s="117">
        <v>1000</v>
      </c>
      <c r="O365" s="118">
        <f t="shared" si="104"/>
        <v>6</v>
      </c>
      <c r="P365" s="117">
        <v>508</v>
      </c>
      <c r="Q365" s="117">
        <v>503</v>
      </c>
      <c r="R365" s="117">
        <v>495</v>
      </c>
      <c r="S365" s="120">
        <f t="shared" si="112"/>
        <v>1440</v>
      </c>
      <c r="T365" s="118">
        <f t="shared" si="113"/>
        <v>502</v>
      </c>
      <c r="U365" s="100">
        <f t="shared" si="106"/>
        <v>35</v>
      </c>
      <c r="V365" s="104">
        <v>381</v>
      </c>
      <c r="W365" s="104">
        <v>3150</v>
      </c>
      <c r="X365" s="104" t="s">
        <v>41</v>
      </c>
      <c r="Y365" s="104" t="s">
        <v>42</v>
      </c>
      <c r="Z365" s="1"/>
      <c r="AA365" s="1"/>
    </row>
    <row r="366" spans="1:27" s="49" customFormat="1" ht="16.5" customHeight="1" thickBot="1" x14ac:dyDescent="0.25">
      <c r="A366" s="84">
        <v>359</v>
      </c>
      <c r="B366" s="52" t="s">
        <v>35</v>
      </c>
      <c r="C366" s="41" t="s">
        <v>36</v>
      </c>
      <c r="D366" s="41" t="s">
        <v>37</v>
      </c>
      <c r="E366" s="41" t="s">
        <v>306</v>
      </c>
      <c r="F366" s="41" t="s">
        <v>201</v>
      </c>
      <c r="G366" s="42" t="s">
        <v>321</v>
      </c>
      <c r="H366" s="46" t="s">
        <v>23</v>
      </c>
      <c r="I366" s="63" t="s">
        <v>573</v>
      </c>
      <c r="J366" s="71">
        <v>2010</v>
      </c>
      <c r="K366" s="66" t="s">
        <v>25</v>
      </c>
      <c r="L366" s="41">
        <v>3</v>
      </c>
      <c r="M366" s="47">
        <v>4</v>
      </c>
      <c r="N366" s="47">
        <v>800</v>
      </c>
      <c r="O366" s="43">
        <f t="shared" si="104"/>
        <v>6.6666666666666288</v>
      </c>
      <c r="P366" s="47">
        <v>538</v>
      </c>
      <c r="Q366" s="47">
        <v>546</v>
      </c>
      <c r="R366" s="47">
        <v>534</v>
      </c>
      <c r="S366" s="48">
        <f t="shared" si="112"/>
        <v>1152</v>
      </c>
      <c r="T366" s="43">
        <f t="shared" si="113"/>
        <v>539.33333333333337</v>
      </c>
      <c r="U366" s="44">
        <f t="shared" si="106"/>
        <v>47</v>
      </c>
      <c r="V366" s="45">
        <v>380</v>
      </c>
      <c r="W366" s="45">
        <v>3150</v>
      </c>
      <c r="X366" s="45" t="s">
        <v>41</v>
      </c>
      <c r="Y366" s="45" t="s">
        <v>42</v>
      </c>
      <c r="Z366" s="1">
        <f>N366-0.5*R366-0.5*M366</f>
        <v>531</v>
      </c>
      <c r="AA366" s="1">
        <f>SQRT(3)/2*R366-SQRT(3)/2*M366</f>
        <v>458.99346400575246</v>
      </c>
    </row>
    <row r="367" spans="1:27" s="49" customFormat="1" ht="16.5" customHeight="1" thickBot="1" x14ac:dyDescent="0.25">
      <c r="A367" s="98">
        <v>360</v>
      </c>
      <c r="B367" s="102" t="s">
        <v>35</v>
      </c>
      <c r="C367" s="103" t="s">
        <v>36</v>
      </c>
      <c r="D367" s="103" t="s">
        <v>37</v>
      </c>
      <c r="E367" s="103" t="s">
        <v>306</v>
      </c>
      <c r="F367" s="103" t="s">
        <v>201</v>
      </c>
      <c r="G367" s="99" t="s">
        <v>322</v>
      </c>
      <c r="H367" s="115" t="s">
        <v>23</v>
      </c>
      <c r="I367" s="121" t="s">
        <v>573</v>
      </c>
      <c r="J367" s="122">
        <v>2009</v>
      </c>
      <c r="K367" s="116" t="s">
        <v>25</v>
      </c>
      <c r="L367" s="103">
        <v>3</v>
      </c>
      <c r="M367" s="117">
        <v>4</v>
      </c>
      <c r="N367" s="117">
        <v>500</v>
      </c>
      <c r="O367" s="118">
        <f t="shared" si="104"/>
        <v>6.3333333333333144</v>
      </c>
      <c r="P367" s="117">
        <v>410</v>
      </c>
      <c r="Q367" s="117">
        <v>398</v>
      </c>
      <c r="R367" s="117">
        <v>403</v>
      </c>
      <c r="S367" s="120">
        <f t="shared" si="112"/>
        <v>720</v>
      </c>
      <c r="T367" s="118">
        <f t="shared" si="113"/>
        <v>403.66666666666669</v>
      </c>
      <c r="U367" s="100">
        <f t="shared" si="106"/>
        <v>56</v>
      </c>
      <c r="V367" s="104">
        <v>381</v>
      </c>
      <c r="W367" s="104">
        <v>3150</v>
      </c>
      <c r="X367" s="104" t="s">
        <v>41</v>
      </c>
      <c r="Y367" s="104" t="s">
        <v>42</v>
      </c>
      <c r="Z367" s="1">
        <f>N367-0.5*R367-0.5*M367</f>
        <v>296.5</v>
      </c>
      <c r="AA367" s="1">
        <f>SQRT(3)/2*R367-SQRT(3)/2*M367</f>
        <v>345.54413610999103</v>
      </c>
    </row>
    <row r="368" spans="1:27" s="49" customFormat="1" ht="16.5" customHeight="1" thickBot="1" x14ac:dyDescent="0.25">
      <c r="A368" s="84">
        <v>361</v>
      </c>
      <c r="B368" s="52" t="s">
        <v>35</v>
      </c>
      <c r="C368" s="41" t="s">
        <v>36</v>
      </c>
      <c r="D368" s="41" t="s">
        <v>37</v>
      </c>
      <c r="E368" s="41" t="s">
        <v>306</v>
      </c>
      <c r="F368" s="41" t="s">
        <v>201</v>
      </c>
      <c r="G368" s="42" t="s">
        <v>482</v>
      </c>
      <c r="H368" s="46" t="s">
        <v>26</v>
      </c>
      <c r="I368" s="62"/>
      <c r="J368" s="70"/>
      <c r="K368" s="66" t="s">
        <v>28</v>
      </c>
      <c r="L368" s="41">
        <v>3</v>
      </c>
      <c r="M368" s="47"/>
      <c r="N368" s="47">
        <v>300</v>
      </c>
      <c r="O368" s="43">
        <f t="shared" si="104"/>
        <v>9.3333333333333428</v>
      </c>
      <c r="P368" s="47">
        <v>205</v>
      </c>
      <c r="Q368" s="47">
        <v>191</v>
      </c>
      <c r="R368" s="47">
        <v>212</v>
      </c>
      <c r="S368" s="48">
        <f t="shared" si="112"/>
        <v>432</v>
      </c>
      <c r="T368" s="43">
        <f t="shared" si="113"/>
        <v>202.66666666666666</v>
      </c>
      <c r="U368" s="44">
        <f t="shared" si="106"/>
        <v>47</v>
      </c>
      <c r="V368" s="45">
        <v>381</v>
      </c>
      <c r="W368" s="45">
        <v>3150</v>
      </c>
      <c r="X368" s="45" t="s">
        <v>41</v>
      </c>
      <c r="Y368" s="45" t="s">
        <v>42</v>
      </c>
      <c r="Z368" s="1"/>
      <c r="AA368" s="1"/>
    </row>
    <row r="369" spans="1:27" s="49" customFormat="1" ht="16.5" customHeight="1" thickBot="1" x14ac:dyDescent="0.25">
      <c r="A369" s="84">
        <v>362</v>
      </c>
      <c r="B369" s="52" t="s">
        <v>35</v>
      </c>
      <c r="C369" s="41" t="s">
        <v>36</v>
      </c>
      <c r="D369" s="41" t="s">
        <v>37</v>
      </c>
      <c r="E369" s="41" t="s">
        <v>306</v>
      </c>
      <c r="F369" s="41" t="s">
        <v>201</v>
      </c>
      <c r="G369" s="42" t="s">
        <v>483</v>
      </c>
      <c r="H369" s="46" t="s">
        <v>26</v>
      </c>
      <c r="I369" s="62"/>
      <c r="J369" s="70"/>
      <c r="K369" s="66" t="s">
        <v>28</v>
      </c>
      <c r="L369" s="41">
        <v>3</v>
      </c>
      <c r="M369" s="47"/>
      <c r="N369" s="47">
        <v>100</v>
      </c>
      <c r="O369" s="43">
        <f t="shared" si="104"/>
        <v>4.3333333333333286</v>
      </c>
      <c r="P369" s="47">
        <v>65</v>
      </c>
      <c r="Q369" s="47">
        <v>70</v>
      </c>
      <c r="R369" s="47">
        <v>62</v>
      </c>
      <c r="S369" s="48">
        <f t="shared" si="112"/>
        <v>144</v>
      </c>
      <c r="T369" s="43">
        <f t="shared" si="113"/>
        <v>65.666666666666671</v>
      </c>
      <c r="U369" s="44">
        <f t="shared" si="106"/>
        <v>46</v>
      </c>
      <c r="V369" s="45">
        <v>381</v>
      </c>
      <c r="W369" s="45">
        <v>3150</v>
      </c>
      <c r="X369" s="45" t="s">
        <v>41</v>
      </c>
      <c r="Y369" s="45" t="s">
        <v>42</v>
      </c>
      <c r="Z369" s="1"/>
      <c r="AA369" s="1"/>
    </row>
    <row r="370" spans="1:27" s="49" customFormat="1" ht="16.5" customHeight="1" thickBot="1" x14ac:dyDescent="0.25">
      <c r="A370" s="98">
        <v>363</v>
      </c>
      <c r="B370" s="102" t="s">
        <v>35</v>
      </c>
      <c r="C370" s="103" t="s">
        <v>36</v>
      </c>
      <c r="D370" s="103" t="s">
        <v>37</v>
      </c>
      <c r="E370" s="103" t="s">
        <v>306</v>
      </c>
      <c r="F370" s="103" t="s">
        <v>201</v>
      </c>
      <c r="G370" s="99" t="s">
        <v>323</v>
      </c>
      <c r="H370" s="115" t="s">
        <v>23</v>
      </c>
      <c r="I370" s="107" t="s">
        <v>573</v>
      </c>
      <c r="J370" s="108">
        <v>1970</v>
      </c>
      <c r="K370" s="116" t="s">
        <v>28</v>
      </c>
      <c r="L370" s="103">
        <v>3</v>
      </c>
      <c r="M370" s="117">
        <v>2</v>
      </c>
      <c r="N370" s="117">
        <v>500</v>
      </c>
      <c r="O370" s="118">
        <f t="shared" si="104"/>
        <v>7</v>
      </c>
      <c r="P370" s="117">
        <v>329</v>
      </c>
      <c r="Q370" s="117">
        <v>322</v>
      </c>
      <c r="R370" s="117">
        <v>315</v>
      </c>
      <c r="S370" s="120">
        <f t="shared" ref="S370:S373" si="114">1.44*N370</f>
        <v>720</v>
      </c>
      <c r="T370" s="118">
        <f t="shared" ref="T370:T373" si="115">(R370+Q370+P370)/3</f>
        <v>322</v>
      </c>
      <c r="U370" s="100">
        <f t="shared" si="106"/>
        <v>45</v>
      </c>
      <c r="V370" s="104">
        <v>380</v>
      </c>
      <c r="W370" s="104">
        <v>3150</v>
      </c>
      <c r="X370" s="104" t="s">
        <v>41</v>
      </c>
      <c r="Y370" s="104" t="s">
        <v>42</v>
      </c>
      <c r="Z370" s="1">
        <f>N370-0.5*R370-0.5*M370</f>
        <v>341.5</v>
      </c>
      <c r="AA370" s="1">
        <f>SQRT(3)/2*R370-SQRT(3)/2*M370</f>
        <v>271.06595138452928</v>
      </c>
    </row>
    <row r="371" spans="1:27" s="49" customFormat="1" ht="16.5" customHeight="1" thickBot="1" x14ac:dyDescent="0.25">
      <c r="A371" s="98">
        <v>364</v>
      </c>
      <c r="B371" s="102" t="s">
        <v>35</v>
      </c>
      <c r="C371" s="103" t="s">
        <v>36</v>
      </c>
      <c r="D371" s="103" t="s">
        <v>37</v>
      </c>
      <c r="E371" s="103" t="s">
        <v>306</v>
      </c>
      <c r="F371" s="103" t="s">
        <v>201</v>
      </c>
      <c r="G371" s="99" t="s">
        <v>320</v>
      </c>
      <c r="H371" s="115" t="s">
        <v>23</v>
      </c>
      <c r="I371" s="107" t="s">
        <v>573</v>
      </c>
      <c r="J371" s="108">
        <v>2018</v>
      </c>
      <c r="K371" s="116" t="s">
        <v>28</v>
      </c>
      <c r="L371" s="103">
        <v>3</v>
      </c>
      <c r="M371" s="117"/>
      <c r="N371" s="117">
        <v>300</v>
      </c>
      <c r="O371" s="118">
        <f t="shared" si="104"/>
        <v>6.3333333333333428</v>
      </c>
      <c r="P371" s="117">
        <v>132</v>
      </c>
      <c r="Q371" s="117">
        <v>139</v>
      </c>
      <c r="R371" s="117">
        <v>145</v>
      </c>
      <c r="S371" s="120">
        <f t="shared" si="114"/>
        <v>432</v>
      </c>
      <c r="T371" s="118">
        <f t="shared" si="115"/>
        <v>138.66666666666666</v>
      </c>
      <c r="U371" s="100">
        <f t="shared" si="106"/>
        <v>32</v>
      </c>
      <c r="V371" s="104">
        <v>380</v>
      </c>
      <c r="W371" s="104">
        <v>3150</v>
      </c>
      <c r="X371" s="104" t="s">
        <v>41</v>
      </c>
      <c r="Y371" s="104" t="s">
        <v>42</v>
      </c>
      <c r="Z371" s="1"/>
      <c r="AA371" s="1"/>
    </row>
    <row r="372" spans="1:27" s="49" customFormat="1" ht="16.5" customHeight="1" thickBot="1" x14ac:dyDescent="0.25">
      <c r="A372" s="84">
        <v>365</v>
      </c>
      <c r="B372" s="52" t="s">
        <v>35</v>
      </c>
      <c r="C372" s="41" t="s">
        <v>36</v>
      </c>
      <c r="D372" s="41" t="s">
        <v>37</v>
      </c>
      <c r="E372" s="41" t="s">
        <v>306</v>
      </c>
      <c r="F372" s="41" t="s">
        <v>201</v>
      </c>
      <c r="G372" s="42" t="s">
        <v>324</v>
      </c>
      <c r="H372" s="46" t="s">
        <v>23</v>
      </c>
      <c r="I372" s="63" t="s">
        <v>573</v>
      </c>
      <c r="J372" s="71">
        <v>2000</v>
      </c>
      <c r="K372" s="66" t="s">
        <v>25</v>
      </c>
      <c r="L372" s="41">
        <v>3</v>
      </c>
      <c r="M372" s="47">
        <v>3</v>
      </c>
      <c r="N372" s="47">
        <v>800</v>
      </c>
      <c r="O372" s="43">
        <f t="shared" si="104"/>
        <v>7</v>
      </c>
      <c r="P372" s="47">
        <v>394</v>
      </c>
      <c r="Q372" s="47">
        <v>389</v>
      </c>
      <c r="R372" s="47">
        <v>402</v>
      </c>
      <c r="S372" s="48">
        <f t="shared" si="114"/>
        <v>1152</v>
      </c>
      <c r="T372" s="43">
        <f t="shared" si="115"/>
        <v>395</v>
      </c>
      <c r="U372" s="44">
        <f t="shared" si="106"/>
        <v>34</v>
      </c>
      <c r="V372" s="45">
        <v>382</v>
      </c>
      <c r="W372" s="45">
        <v>3150</v>
      </c>
      <c r="X372" s="45" t="s">
        <v>41</v>
      </c>
      <c r="Y372" s="45" t="s">
        <v>42</v>
      </c>
      <c r="Z372" s="1">
        <f>N372-0.5*R372-0.5*M372</f>
        <v>597.5</v>
      </c>
      <c r="AA372" s="1">
        <f>SQRT(3)/2*R372-SQRT(3)/2*M372</f>
        <v>345.54413610999097</v>
      </c>
    </row>
    <row r="373" spans="1:27" s="49" customFormat="1" ht="16.5" customHeight="1" thickBot="1" x14ac:dyDescent="0.25">
      <c r="A373" s="84">
        <v>366</v>
      </c>
      <c r="B373" s="52" t="s">
        <v>35</v>
      </c>
      <c r="C373" s="41" t="s">
        <v>36</v>
      </c>
      <c r="D373" s="41" t="s">
        <v>37</v>
      </c>
      <c r="E373" s="41" t="s">
        <v>306</v>
      </c>
      <c r="F373" s="41" t="s">
        <v>201</v>
      </c>
      <c r="G373" s="42" t="s">
        <v>325</v>
      </c>
      <c r="H373" s="46" t="s">
        <v>23</v>
      </c>
      <c r="I373" s="63"/>
      <c r="J373" s="71"/>
      <c r="K373" s="66" t="s">
        <v>25</v>
      </c>
      <c r="L373" s="41">
        <v>3</v>
      </c>
      <c r="M373" s="47">
        <v>2</v>
      </c>
      <c r="N373" s="47">
        <v>300</v>
      </c>
      <c r="O373" s="43">
        <f t="shared" si="104"/>
        <v>5</v>
      </c>
      <c r="P373" s="47">
        <v>243</v>
      </c>
      <c r="Q373" s="47">
        <v>248</v>
      </c>
      <c r="R373" s="47">
        <v>253</v>
      </c>
      <c r="S373" s="48">
        <f t="shared" si="114"/>
        <v>432</v>
      </c>
      <c r="T373" s="43">
        <f t="shared" si="115"/>
        <v>248</v>
      </c>
      <c r="U373" s="44">
        <f t="shared" si="106"/>
        <v>57</v>
      </c>
      <c r="V373" s="45">
        <v>382</v>
      </c>
      <c r="W373" s="45">
        <v>3150</v>
      </c>
      <c r="X373" s="45" t="s">
        <v>41</v>
      </c>
      <c r="Y373" s="45" t="s">
        <v>42</v>
      </c>
      <c r="Z373" s="1">
        <f>N373-0.5*R373-0.5*M373</f>
        <v>172.5</v>
      </c>
      <c r="AA373" s="1">
        <f>SQRT(3)/2*R373-SQRT(3)/2*M373</f>
        <v>217.3723763498941</v>
      </c>
    </row>
    <row r="374" spans="1:27" s="49" customFormat="1" ht="16.5" customHeight="1" thickBot="1" x14ac:dyDescent="0.25">
      <c r="A374" s="84">
        <v>367</v>
      </c>
      <c r="B374" s="52" t="s">
        <v>35</v>
      </c>
      <c r="C374" s="41" t="s">
        <v>36</v>
      </c>
      <c r="D374" s="41" t="s">
        <v>37</v>
      </c>
      <c r="E374" s="41" t="s">
        <v>306</v>
      </c>
      <c r="F374" s="41" t="s">
        <v>201</v>
      </c>
      <c r="G374" s="42" t="s">
        <v>484</v>
      </c>
      <c r="H374" s="46" t="s">
        <v>26</v>
      </c>
      <c r="I374" s="63"/>
      <c r="J374" s="71"/>
      <c r="K374" s="66" t="s">
        <v>25</v>
      </c>
      <c r="L374" s="41">
        <v>3</v>
      </c>
      <c r="M374" s="47"/>
      <c r="N374" s="47">
        <v>500</v>
      </c>
      <c r="O374" s="43"/>
      <c r="P374" s="141" t="s">
        <v>548</v>
      </c>
      <c r="Q374" s="142"/>
      <c r="R374" s="142"/>
      <c r="S374" s="142"/>
      <c r="T374" s="143"/>
      <c r="U374" s="44" t="e">
        <f t="shared" si="106"/>
        <v>#DIV/0!</v>
      </c>
      <c r="V374" s="45">
        <v>382</v>
      </c>
      <c r="W374" s="45">
        <v>3150</v>
      </c>
      <c r="X374" s="45" t="s">
        <v>41</v>
      </c>
      <c r="Y374" s="45" t="s">
        <v>42</v>
      </c>
      <c r="Z374" s="1">
        <f>N374-0.5*R374-0.5*M374</f>
        <v>500</v>
      </c>
      <c r="AA374" s="1">
        <f>SQRT(3)/2*R374-SQRT(3)/2*M374</f>
        <v>0</v>
      </c>
    </row>
    <row r="375" spans="1:27" s="49" customFormat="1" ht="16.5" customHeight="1" thickBot="1" x14ac:dyDescent="0.25">
      <c r="A375" s="98">
        <v>368</v>
      </c>
      <c r="B375" s="102" t="s">
        <v>35</v>
      </c>
      <c r="C375" s="103" t="s">
        <v>36</v>
      </c>
      <c r="D375" s="103" t="s">
        <v>69</v>
      </c>
      <c r="E375" s="103" t="s">
        <v>306</v>
      </c>
      <c r="F375" s="103" t="s">
        <v>200</v>
      </c>
      <c r="G375" s="99" t="s">
        <v>330</v>
      </c>
      <c r="H375" s="115" t="s">
        <v>23</v>
      </c>
      <c r="I375" s="121" t="s">
        <v>573</v>
      </c>
      <c r="J375" s="122">
        <v>2011</v>
      </c>
      <c r="K375" s="116" t="s">
        <v>25</v>
      </c>
      <c r="L375" s="103">
        <v>3</v>
      </c>
      <c r="M375" s="117">
        <v>4</v>
      </c>
      <c r="N375" s="117">
        <v>1000</v>
      </c>
      <c r="O375" s="118">
        <f>MAX(P375:R375)-AVERAGE(P375:R375)</f>
        <v>5.6666666666666856</v>
      </c>
      <c r="P375" s="117">
        <v>470</v>
      </c>
      <c r="Q375" s="117">
        <v>477</v>
      </c>
      <c r="R375" s="117">
        <v>482</v>
      </c>
      <c r="S375" s="120">
        <f t="shared" ref="S375:S397" si="116">1.44*N375</f>
        <v>1440</v>
      </c>
      <c r="T375" s="118">
        <f t="shared" ref="T375:T397" si="117">(R375+Q375+P375)/3</f>
        <v>476.33333333333331</v>
      </c>
      <c r="U375" s="100">
        <f t="shared" si="106"/>
        <v>33</v>
      </c>
      <c r="V375" s="104">
        <v>381</v>
      </c>
      <c r="W375" s="104">
        <v>2980</v>
      </c>
      <c r="X375" s="104" t="s">
        <v>41</v>
      </c>
      <c r="Y375" s="104" t="s">
        <v>42</v>
      </c>
      <c r="Z375" s="1"/>
      <c r="AA375" s="1"/>
    </row>
    <row r="376" spans="1:27" s="49" customFormat="1" ht="16.5" customHeight="1" thickBot="1" x14ac:dyDescent="0.25">
      <c r="A376" s="98">
        <v>369</v>
      </c>
      <c r="B376" s="102" t="s">
        <v>35</v>
      </c>
      <c r="C376" s="103" t="s">
        <v>36</v>
      </c>
      <c r="D376" s="103" t="s">
        <v>69</v>
      </c>
      <c r="E376" s="103" t="s">
        <v>306</v>
      </c>
      <c r="F376" s="103" t="s">
        <v>200</v>
      </c>
      <c r="G376" s="99" t="s">
        <v>329</v>
      </c>
      <c r="H376" s="115" t="s">
        <v>23</v>
      </c>
      <c r="I376" s="121" t="s">
        <v>573</v>
      </c>
      <c r="J376" s="122">
        <v>2011</v>
      </c>
      <c r="K376" s="116" t="s">
        <v>25</v>
      </c>
      <c r="L376" s="103">
        <v>3</v>
      </c>
      <c r="M376" s="117">
        <v>3</v>
      </c>
      <c r="N376" s="117">
        <v>1000</v>
      </c>
      <c r="O376" s="118">
        <f t="shared" ref="O376:O439" si="118">MAX(P376:R376)-AVERAGE(P376:R376)</f>
        <v>5.3333333333333144</v>
      </c>
      <c r="P376" s="117">
        <v>493</v>
      </c>
      <c r="Q376" s="117">
        <v>500</v>
      </c>
      <c r="R376" s="117">
        <v>491</v>
      </c>
      <c r="S376" s="120">
        <f t="shared" si="116"/>
        <v>1440</v>
      </c>
      <c r="T376" s="118">
        <f t="shared" si="117"/>
        <v>494.66666666666669</v>
      </c>
      <c r="U376" s="100">
        <f t="shared" si="106"/>
        <v>34</v>
      </c>
      <c r="V376" s="104">
        <v>380</v>
      </c>
      <c r="W376" s="104">
        <v>2980</v>
      </c>
      <c r="X376" s="104" t="s">
        <v>41</v>
      </c>
      <c r="Y376" s="104" t="s">
        <v>42</v>
      </c>
      <c r="Z376" s="1"/>
      <c r="AA376" s="1"/>
    </row>
    <row r="377" spans="1:27" s="49" customFormat="1" ht="16.5" customHeight="1" thickBot="1" x14ac:dyDescent="0.25">
      <c r="A377" s="98">
        <v>370</v>
      </c>
      <c r="B377" s="102" t="s">
        <v>35</v>
      </c>
      <c r="C377" s="103" t="s">
        <v>36</v>
      </c>
      <c r="D377" s="103" t="s">
        <v>69</v>
      </c>
      <c r="E377" s="103" t="s">
        <v>306</v>
      </c>
      <c r="F377" s="103" t="s">
        <v>200</v>
      </c>
      <c r="G377" s="99" t="s">
        <v>328</v>
      </c>
      <c r="H377" s="115" t="s">
        <v>23</v>
      </c>
      <c r="I377" s="121" t="s">
        <v>573</v>
      </c>
      <c r="J377" s="122">
        <v>2011</v>
      </c>
      <c r="K377" s="116" t="s">
        <v>25</v>
      </c>
      <c r="L377" s="103">
        <v>3</v>
      </c>
      <c r="M377" s="117">
        <v>5</v>
      </c>
      <c r="N377" s="117">
        <v>1000</v>
      </c>
      <c r="O377" s="118">
        <f t="shared" si="118"/>
        <v>6.6666666666666856</v>
      </c>
      <c r="P377" s="117">
        <v>468</v>
      </c>
      <c r="Q377" s="117">
        <v>462</v>
      </c>
      <c r="R377" s="117">
        <v>475</v>
      </c>
      <c r="S377" s="120">
        <f t="shared" si="116"/>
        <v>1440</v>
      </c>
      <c r="T377" s="118">
        <f t="shared" si="117"/>
        <v>468.33333333333331</v>
      </c>
      <c r="U377" s="100">
        <f t="shared" si="106"/>
        <v>33</v>
      </c>
      <c r="V377" s="104">
        <v>381</v>
      </c>
      <c r="W377" s="104">
        <v>2980</v>
      </c>
      <c r="X377" s="104" t="s">
        <v>41</v>
      </c>
      <c r="Y377" s="104" t="s">
        <v>42</v>
      </c>
      <c r="Z377" s="1"/>
      <c r="AA377" s="1"/>
    </row>
    <row r="378" spans="1:27" s="49" customFormat="1" ht="16.5" customHeight="1" thickBot="1" x14ac:dyDescent="0.25">
      <c r="A378" s="98">
        <v>371</v>
      </c>
      <c r="B378" s="102" t="s">
        <v>35</v>
      </c>
      <c r="C378" s="103" t="s">
        <v>36</v>
      </c>
      <c r="D378" s="103" t="s">
        <v>69</v>
      </c>
      <c r="E378" s="103" t="s">
        <v>306</v>
      </c>
      <c r="F378" s="103" t="s">
        <v>200</v>
      </c>
      <c r="G378" s="99" t="s">
        <v>327</v>
      </c>
      <c r="H378" s="115" t="s">
        <v>23</v>
      </c>
      <c r="I378" s="121" t="s">
        <v>573</v>
      </c>
      <c r="J378" s="122">
        <v>2011</v>
      </c>
      <c r="K378" s="116" t="s">
        <v>25</v>
      </c>
      <c r="L378" s="103">
        <v>3</v>
      </c>
      <c r="M378" s="117">
        <v>4</v>
      </c>
      <c r="N378" s="117">
        <v>1000</v>
      </c>
      <c r="O378" s="118">
        <f t="shared" si="118"/>
        <v>5.6666666666666856</v>
      </c>
      <c r="P378" s="117">
        <v>462</v>
      </c>
      <c r="Q378" s="117">
        <v>466</v>
      </c>
      <c r="R378" s="117">
        <v>453</v>
      </c>
      <c r="S378" s="120">
        <f t="shared" si="116"/>
        <v>1440</v>
      </c>
      <c r="T378" s="118">
        <f t="shared" si="117"/>
        <v>460.33333333333331</v>
      </c>
      <c r="U378" s="100">
        <f t="shared" si="106"/>
        <v>32</v>
      </c>
      <c r="V378" s="104">
        <v>382</v>
      </c>
      <c r="W378" s="104">
        <v>2980</v>
      </c>
      <c r="X378" s="104" t="s">
        <v>41</v>
      </c>
      <c r="Y378" s="104" t="s">
        <v>42</v>
      </c>
      <c r="Z378" s="1"/>
      <c r="AA378" s="1"/>
    </row>
    <row r="379" spans="1:27" s="49" customFormat="1" ht="16.5" customHeight="1" thickBot="1" x14ac:dyDescent="0.25">
      <c r="A379" s="98">
        <v>372</v>
      </c>
      <c r="B379" s="102" t="s">
        <v>35</v>
      </c>
      <c r="C379" s="103" t="s">
        <v>36</v>
      </c>
      <c r="D379" s="103" t="s">
        <v>37</v>
      </c>
      <c r="E379" s="103" t="s">
        <v>306</v>
      </c>
      <c r="F379" s="103" t="s">
        <v>200</v>
      </c>
      <c r="G379" s="99" t="s">
        <v>326</v>
      </c>
      <c r="H379" s="115" t="s">
        <v>23</v>
      </c>
      <c r="I379" s="121" t="s">
        <v>573</v>
      </c>
      <c r="J379" s="122">
        <v>2011</v>
      </c>
      <c r="K379" s="116" t="s">
        <v>25</v>
      </c>
      <c r="L379" s="103">
        <v>3</v>
      </c>
      <c r="M379" s="117">
        <v>4</v>
      </c>
      <c r="N379" s="117">
        <v>1000</v>
      </c>
      <c r="O379" s="118">
        <f t="shared" si="118"/>
        <v>7</v>
      </c>
      <c r="P379" s="117">
        <v>469</v>
      </c>
      <c r="Q379" s="117">
        <v>454</v>
      </c>
      <c r="R379" s="117">
        <v>463</v>
      </c>
      <c r="S379" s="120">
        <f t="shared" si="116"/>
        <v>1440</v>
      </c>
      <c r="T379" s="118">
        <f t="shared" si="117"/>
        <v>462</v>
      </c>
      <c r="U379" s="100">
        <f t="shared" si="106"/>
        <v>32</v>
      </c>
      <c r="V379" s="104">
        <v>382</v>
      </c>
      <c r="W379" s="104">
        <v>2980</v>
      </c>
      <c r="X379" s="104" t="s">
        <v>41</v>
      </c>
      <c r="Y379" s="104" t="s">
        <v>42</v>
      </c>
      <c r="Z379" s="1">
        <f>N379-0.5*R379-0.5*M379</f>
        <v>766.5</v>
      </c>
      <c r="AA379" s="1">
        <f>SQRT(3)/2*R379-SQRT(3)/2*M379</f>
        <v>397.50566033705735</v>
      </c>
    </row>
    <row r="380" spans="1:27" s="49" customFormat="1" ht="16.5" customHeight="1" thickBot="1" x14ac:dyDescent="0.25">
      <c r="A380" s="98">
        <v>373</v>
      </c>
      <c r="B380" s="102" t="s">
        <v>35</v>
      </c>
      <c r="C380" s="103" t="s">
        <v>36</v>
      </c>
      <c r="D380" s="103" t="s">
        <v>37</v>
      </c>
      <c r="E380" s="103" t="s">
        <v>306</v>
      </c>
      <c r="F380" s="103" t="s">
        <v>200</v>
      </c>
      <c r="G380" s="99" t="s">
        <v>52</v>
      </c>
      <c r="H380" s="115" t="s">
        <v>23</v>
      </c>
      <c r="I380" s="121" t="s">
        <v>573</v>
      </c>
      <c r="J380" s="122">
        <v>1984</v>
      </c>
      <c r="K380" s="116" t="s">
        <v>25</v>
      </c>
      <c r="L380" s="103">
        <v>3</v>
      </c>
      <c r="M380" s="103">
        <v>2</v>
      </c>
      <c r="N380" s="117">
        <v>500</v>
      </c>
      <c r="O380" s="118">
        <f t="shared" si="118"/>
        <v>5.6666666666666856</v>
      </c>
      <c r="P380" s="117">
        <v>283</v>
      </c>
      <c r="Q380" s="117">
        <v>288</v>
      </c>
      <c r="R380" s="117">
        <v>276</v>
      </c>
      <c r="S380" s="120">
        <f t="shared" si="116"/>
        <v>720</v>
      </c>
      <c r="T380" s="118">
        <f t="shared" si="117"/>
        <v>282.33333333333331</v>
      </c>
      <c r="U380" s="100">
        <f t="shared" si="106"/>
        <v>39</v>
      </c>
      <c r="V380" s="104">
        <v>380</v>
      </c>
      <c r="W380" s="104">
        <v>2650</v>
      </c>
      <c r="X380" s="104" t="s">
        <v>41</v>
      </c>
      <c r="Y380" s="104" t="s">
        <v>42</v>
      </c>
      <c r="Z380" s="1"/>
      <c r="AA380" s="1"/>
    </row>
    <row r="381" spans="1:27" s="49" customFormat="1" ht="16.5" customHeight="1" thickBot="1" x14ac:dyDescent="0.25">
      <c r="A381" s="98">
        <v>374</v>
      </c>
      <c r="B381" s="102" t="s">
        <v>35</v>
      </c>
      <c r="C381" s="103" t="s">
        <v>36</v>
      </c>
      <c r="D381" s="103" t="s">
        <v>69</v>
      </c>
      <c r="E381" s="103" t="s">
        <v>306</v>
      </c>
      <c r="F381" s="103" t="s">
        <v>331</v>
      </c>
      <c r="G381" s="99" t="s">
        <v>332</v>
      </c>
      <c r="H381" s="115" t="s">
        <v>23</v>
      </c>
      <c r="I381" s="121"/>
      <c r="J381" s="122"/>
      <c r="K381" s="116" t="s">
        <v>25</v>
      </c>
      <c r="L381" s="103">
        <v>3</v>
      </c>
      <c r="M381" s="117">
        <v>3</v>
      </c>
      <c r="N381" s="117">
        <v>1000</v>
      </c>
      <c r="O381" s="118">
        <f t="shared" si="118"/>
        <v>5.6666666666666856</v>
      </c>
      <c r="P381" s="117">
        <v>480</v>
      </c>
      <c r="Q381" s="117">
        <v>478</v>
      </c>
      <c r="R381" s="117">
        <v>465</v>
      </c>
      <c r="S381" s="120">
        <f t="shared" si="116"/>
        <v>1440</v>
      </c>
      <c r="T381" s="118">
        <f t="shared" si="117"/>
        <v>474.33333333333331</v>
      </c>
      <c r="U381" s="100">
        <f t="shared" si="106"/>
        <v>33</v>
      </c>
      <c r="V381" s="104">
        <v>380</v>
      </c>
      <c r="W381" s="104">
        <v>2980</v>
      </c>
      <c r="X381" s="104" t="s">
        <v>41</v>
      </c>
      <c r="Y381" s="104" t="s">
        <v>42</v>
      </c>
      <c r="Z381" s="1">
        <f t="shared" ref="Z381:Z389" si="119">N381-0.5*R381-0.5*M381</f>
        <v>766</v>
      </c>
      <c r="AA381" s="1">
        <f t="shared" ref="AA381:AA389" si="120">SQRT(3)/2*R381-SQRT(3)/2*M381</f>
        <v>400.10373654841061</v>
      </c>
    </row>
    <row r="382" spans="1:27" s="49" customFormat="1" ht="16.5" customHeight="1" thickBot="1" x14ac:dyDescent="0.3">
      <c r="A382" s="98">
        <v>375</v>
      </c>
      <c r="B382" s="102" t="s">
        <v>35</v>
      </c>
      <c r="C382" s="103" t="s">
        <v>36</v>
      </c>
      <c r="D382" s="103" t="s">
        <v>69</v>
      </c>
      <c r="E382" s="103" t="s">
        <v>306</v>
      </c>
      <c r="F382" s="103" t="s">
        <v>331</v>
      </c>
      <c r="G382" s="99" t="s">
        <v>333</v>
      </c>
      <c r="H382" s="115" t="s">
        <v>23</v>
      </c>
      <c r="I382" s="107"/>
      <c r="J382" s="108"/>
      <c r="K382" s="116" t="s">
        <v>28</v>
      </c>
      <c r="L382" s="103">
        <v>3</v>
      </c>
      <c r="M382" s="117"/>
      <c r="N382" s="117">
        <v>1000</v>
      </c>
      <c r="O382" s="118">
        <f t="shared" si="118"/>
        <v>5</v>
      </c>
      <c r="P382" s="119">
        <v>478</v>
      </c>
      <c r="Q382" s="119">
        <v>466</v>
      </c>
      <c r="R382" s="119">
        <v>475</v>
      </c>
      <c r="S382" s="120">
        <f t="shared" si="116"/>
        <v>1440</v>
      </c>
      <c r="T382" s="118">
        <f t="shared" si="117"/>
        <v>473</v>
      </c>
      <c r="U382" s="100">
        <f t="shared" si="106"/>
        <v>33</v>
      </c>
      <c r="V382" s="104">
        <v>381</v>
      </c>
      <c r="W382" s="104">
        <v>2980</v>
      </c>
      <c r="X382" s="104" t="s">
        <v>41</v>
      </c>
      <c r="Y382" s="104" t="s">
        <v>42</v>
      </c>
      <c r="Z382" s="1">
        <f t="shared" si="119"/>
        <v>762.5</v>
      </c>
      <c r="AA382" s="1">
        <f t="shared" si="120"/>
        <v>411.36206679760835</v>
      </c>
    </row>
    <row r="383" spans="1:27" s="49" customFormat="1" ht="16.5" customHeight="1" thickBot="1" x14ac:dyDescent="0.3">
      <c r="A383" s="98">
        <v>376</v>
      </c>
      <c r="B383" s="102" t="s">
        <v>35</v>
      </c>
      <c r="C383" s="103" t="s">
        <v>36</v>
      </c>
      <c r="D383" s="103" t="s">
        <v>69</v>
      </c>
      <c r="E383" s="103" t="s">
        <v>306</v>
      </c>
      <c r="F383" s="103" t="s">
        <v>331</v>
      </c>
      <c r="G383" s="99" t="s">
        <v>334</v>
      </c>
      <c r="H383" s="115" t="s">
        <v>23</v>
      </c>
      <c r="I383" s="107"/>
      <c r="J383" s="108"/>
      <c r="K383" s="116" t="s">
        <v>28</v>
      </c>
      <c r="L383" s="103">
        <v>3</v>
      </c>
      <c r="M383" s="117"/>
      <c r="N383" s="117">
        <v>1000</v>
      </c>
      <c r="O383" s="118">
        <f t="shared" si="118"/>
        <v>7</v>
      </c>
      <c r="P383" s="119">
        <v>460</v>
      </c>
      <c r="Q383" s="119">
        <v>446</v>
      </c>
      <c r="R383" s="119">
        <v>453</v>
      </c>
      <c r="S383" s="120">
        <f t="shared" si="116"/>
        <v>1440</v>
      </c>
      <c r="T383" s="118">
        <f t="shared" si="117"/>
        <v>453</v>
      </c>
      <c r="U383" s="100">
        <f t="shared" si="106"/>
        <v>31</v>
      </c>
      <c r="V383" s="104">
        <v>382</v>
      </c>
      <c r="W383" s="104">
        <v>2980</v>
      </c>
      <c r="X383" s="104" t="s">
        <v>41</v>
      </c>
      <c r="Y383" s="104" t="s">
        <v>42</v>
      </c>
      <c r="Z383" s="1">
        <f t="shared" si="119"/>
        <v>773.5</v>
      </c>
      <c r="AA383" s="1">
        <f t="shared" si="120"/>
        <v>392.30950791435066</v>
      </c>
    </row>
    <row r="384" spans="1:27" s="49" customFormat="1" ht="15.6" customHeight="1" thickBot="1" x14ac:dyDescent="0.25">
      <c r="A384" s="98">
        <v>377</v>
      </c>
      <c r="B384" s="102" t="s">
        <v>35</v>
      </c>
      <c r="C384" s="103" t="s">
        <v>36</v>
      </c>
      <c r="D384" s="103" t="s">
        <v>37</v>
      </c>
      <c r="E384" s="103" t="s">
        <v>306</v>
      </c>
      <c r="F384" s="103" t="s">
        <v>335</v>
      </c>
      <c r="G384" s="99" t="s">
        <v>339</v>
      </c>
      <c r="H384" s="115" t="s">
        <v>23</v>
      </c>
      <c r="I384" s="121" t="s">
        <v>591</v>
      </c>
      <c r="J384" s="122">
        <v>2013</v>
      </c>
      <c r="K384" s="116" t="s">
        <v>25</v>
      </c>
      <c r="L384" s="103">
        <v>3</v>
      </c>
      <c r="M384" s="117">
        <v>6</v>
      </c>
      <c r="N384" s="117">
        <v>1000</v>
      </c>
      <c r="O384" s="118">
        <f t="shared" si="118"/>
        <v>8</v>
      </c>
      <c r="P384" s="117">
        <v>625</v>
      </c>
      <c r="Q384" s="117">
        <v>615</v>
      </c>
      <c r="R384" s="117">
        <v>611</v>
      </c>
      <c r="S384" s="120">
        <f t="shared" si="116"/>
        <v>1440</v>
      </c>
      <c r="T384" s="118">
        <f t="shared" si="117"/>
        <v>617</v>
      </c>
      <c r="U384" s="100">
        <f t="shared" si="106"/>
        <v>43</v>
      </c>
      <c r="V384" s="104">
        <v>382</v>
      </c>
      <c r="W384" s="104">
        <v>3150</v>
      </c>
      <c r="X384" s="104" t="s">
        <v>41</v>
      </c>
      <c r="Y384" s="104" t="s">
        <v>42</v>
      </c>
      <c r="Z384" s="1">
        <f t="shared" si="119"/>
        <v>691.5</v>
      </c>
      <c r="AA384" s="1">
        <f t="shared" si="120"/>
        <v>523.9453692895853</v>
      </c>
    </row>
    <row r="385" spans="1:27" s="49" customFormat="1" ht="16.5" customHeight="1" thickBot="1" x14ac:dyDescent="0.25">
      <c r="A385" s="98">
        <v>378</v>
      </c>
      <c r="B385" s="102" t="s">
        <v>35</v>
      </c>
      <c r="C385" s="103" t="s">
        <v>36</v>
      </c>
      <c r="D385" s="103" t="s">
        <v>37</v>
      </c>
      <c r="E385" s="103" t="s">
        <v>306</v>
      </c>
      <c r="F385" s="103" t="s">
        <v>335</v>
      </c>
      <c r="G385" s="99" t="s">
        <v>336</v>
      </c>
      <c r="H385" s="115" t="s">
        <v>23</v>
      </c>
      <c r="I385" s="121"/>
      <c r="J385" s="122"/>
      <c r="K385" s="116" t="s">
        <v>25</v>
      </c>
      <c r="L385" s="103">
        <v>3</v>
      </c>
      <c r="M385" s="117">
        <v>2</v>
      </c>
      <c r="N385" s="117">
        <v>500</v>
      </c>
      <c r="O385" s="118">
        <f t="shared" si="118"/>
        <v>7.6666666666666856</v>
      </c>
      <c r="P385" s="117">
        <v>306</v>
      </c>
      <c r="Q385" s="117">
        <v>295</v>
      </c>
      <c r="R385" s="117">
        <v>312</v>
      </c>
      <c r="S385" s="120">
        <f t="shared" si="116"/>
        <v>720</v>
      </c>
      <c r="T385" s="118">
        <f t="shared" si="117"/>
        <v>304.33333333333331</v>
      </c>
      <c r="U385" s="100">
        <f t="shared" si="106"/>
        <v>42</v>
      </c>
      <c r="V385" s="104">
        <v>380</v>
      </c>
      <c r="W385" s="104">
        <v>3150</v>
      </c>
      <c r="X385" s="104" t="s">
        <v>41</v>
      </c>
      <c r="Y385" s="104" t="s">
        <v>42</v>
      </c>
      <c r="Z385" s="1">
        <f t="shared" si="119"/>
        <v>343</v>
      </c>
      <c r="AA385" s="1">
        <f t="shared" si="120"/>
        <v>268.46787517317597</v>
      </c>
    </row>
    <row r="386" spans="1:27" s="49" customFormat="1" ht="16.5" customHeight="1" thickBot="1" x14ac:dyDescent="0.25">
      <c r="A386" s="98">
        <v>379</v>
      </c>
      <c r="B386" s="102" t="s">
        <v>35</v>
      </c>
      <c r="C386" s="103" t="s">
        <v>36</v>
      </c>
      <c r="D386" s="103" t="s">
        <v>37</v>
      </c>
      <c r="E386" s="103" t="s">
        <v>306</v>
      </c>
      <c r="F386" s="103" t="s">
        <v>335</v>
      </c>
      <c r="G386" s="99" t="s">
        <v>337</v>
      </c>
      <c r="H386" s="115" t="s">
        <v>23</v>
      </c>
      <c r="I386" s="107" t="s">
        <v>573</v>
      </c>
      <c r="J386" s="122">
        <v>2012</v>
      </c>
      <c r="K386" s="116" t="s">
        <v>25</v>
      </c>
      <c r="L386" s="103">
        <v>3</v>
      </c>
      <c r="M386" s="117">
        <v>3</v>
      </c>
      <c r="N386" s="117">
        <v>800</v>
      </c>
      <c r="O386" s="118">
        <f t="shared" si="118"/>
        <v>6.6666666666666856</v>
      </c>
      <c r="P386" s="117">
        <v>412</v>
      </c>
      <c r="Q386" s="117">
        <v>419</v>
      </c>
      <c r="R386" s="117">
        <v>406</v>
      </c>
      <c r="S386" s="120">
        <f t="shared" si="116"/>
        <v>1152</v>
      </c>
      <c r="T386" s="118">
        <f t="shared" si="117"/>
        <v>412.33333333333331</v>
      </c>
      <c r="U386" s="100">
        <f t="shared" si="106"/>
        <v>36</v>
      </c>
      <c r="V386" s="104">
        <v>381</v>
      </c>
      <c r="W386" s="104">
        <v>3150</v>
      </c>
      <c r="X386" s="104" t="s">
        <v>41</v>
      </c>
      <c r="Y386" s="104" t="s">
        <v>42</v>
      </c>
      <c r="Z386" s="1">
        <f t="shared" si="119"/>
        <v>595.5</v>
      </c>
      <c r="AA386" s="1">
        <f t="shared" si="120"/>
        <v>349.00823772512877</v>
      </c>
    </row>
    <row r="387" spans="1:27" s="49" customFormat="1" ht="16.5" customHeight="1" thickBot="1" x14ac:dyDescent="0.25">
      <c r="A387" s="98">
        <v>380</v>
      </c>
      <c r="B387" s="102" t="s">
        <v>35</v>
      </c>
      <c r="C387" s="103" t="s">
        <v>36</v>
      </c>
      <c r="D387" s="103" t="s">
        <v>37</v>
      </c>
      <c r="E387" s="103" t="s">
        <v>306</v>
      </c>
      <c r="F387" s="103" t="s">
        <v>335</v>
      </c>
      <c r="G387" s="99" t="s">
        <v>338</v>
      </c>
      <c r="H387" s="115" t="s">
        <v>23</v>
      </c>
      <c r="I387" s="121" t="s">
        <v>595</v>
      </c>
      <c r="J387" s="122">
        <v>1982</v>
      </c>
      <c r="K387" s="116" t="s">
        <v>25</v>
      </c>
      <c r="L387" s="103">
        <v>3</v>
      </c>
      <c r="M387" s="117">
        <v>4</v>
      </c>
      <c r="N387" s="117">
        <v>500</v>
      </c>
      <c r="O387" s="118">
        <f t="shared" si="118"/>
        <v>5.3333333333333144</v>
      </c>
      <c r="P387" s="117">
        <v>346</v>
      </c>
      <c r="Q387" s="117">
        <v>335</v>
      </c>
      <c r="R387" s="117">
        <v>341</v>
      </c>
      <c r="S387" s="120">
        <f t="shared" si="116"/>
        <v>720</v>
      </c>
      <c r="T387" s="118">
        <f t="shared" si="117"/>
        <v>340.66666666666669</v>
      </c>
      <c r="U387" s="100">
        <f t="shared" si="106"/>
        <v>47</v>
      </c>
      <c r="V387" s="104">
        <v>380</v>
      </c>
      <c r="W387" s="104">
        <v>3150</v>
      </c>
      <c r="X387" s="104" t="s">
        <v>41</v>
      </c>
      <c r="Y387" s="104" t="s">
        <v>42</v>
      </c>
      <c r="Z387" s="1">
        <f t="shared" si="119"/>
        <v>327.5</v>
      </c>
      <c r="AA387" s="1">
        <f t="shared" si="120"/>
        <v>291.85056107535581</v>
      </c>
    </row>
    <row r="388" spans="1:27" s="49" customFormat="1" ht="16.5" customHeight="1" thickBot="1" x14ac:dyDescent="0.25">
      <c r="A388" s="98">
        <v>381</v>
      </c>
      <c r="B388" s="102" t="s">
        <v>35</v>
      </c>
      <c r="C388" s="103" t="s">
        <v>36</v>
      </c>
      <c r="D388" s="103" t="s">
        <v>37</v>
      </c>
      <c r="E388" s="103" t="s">
        <v>306</v>
      </c>
      <c r="F388" s="103" t="s">
        <v>335</v>
      </c>
      <c r="G388" s="99" t="s">
        <v>340</v>
      </c>
      <c r="H388" s="115" t="s">
        <v>23</v>
      </c>
      <c r="I388" s="121" t="s">
        <v>591</v>
      </c>
      <c r="J388" s="122">
        <v>2019</v>
      </c>
      <c r="K388" s="116" t="s">
        <v>25</v>
      </c>
      <c r="L388" s="103">
        <v>3</v>
      </c>
      <c r="M388" s="117">
        <v>5</v>
      </c>
      <c r="N388" s="117">
        <v>800</v>
      </c>
      <c r="O388" s="118">
        <f t="shared" si="118"/>
        <v>6.3333333333333144</v>
      </c>
      <c r="P388" s="117">
        <v>426</v>
      </c>
      <c r="Q388" s="117">
        <v>419</v>
      </c>
      <c r="R388" s="117">
        <v>432</v>
      </c>
      <c r="S388" s="120">
        <f t="shared" si="116"/>
        <v>1152</v>
      </c>
      <c r="T388" s="118">
        <f t="shared" si="117"/>
        <v>425.66666666666669</v>
      </c>
      <c r="U388" s="100">
        <f t="shared" si="106"/>
        <v>37</v>
      </c>
      <c r="V388" s="104">
        <v>382</v>
      </c>
      <c r="W388" s="104">
        <v>3150</v>
      </c>
      <c r="X388" s="104" t="s">
        <v>41</v>
      </c>
      <c r="Y388" s="104" t="s">
        <v>42</v>
      </c>
      <c r="Z388" s="1">
        <f t="shared" si="119"/>
        <v>581.5</v>
      </c>
      <c r="AA388" s="1">
        <f t="shared" si="120"/>
        <v>369.79284741595524</v>
      </c>
    </row>
    <row r="389" spans="1:27" s="49" customFormat="1" ht="16.899999999999999" customHeight="1" thickBot="1" x14ac:dyDescent="0.25">
      <c r="A389" s="84">
        <v>382</v>
      </c>
      <c r="B389" s="52" t="s">
        <v>35</v>
      </c>
      <c r="C389" s="41" t="s">
        <v>36</v>
      </c>
      <c r="D389" s="41" t="s">
        <v>37</v>
      </c>
      <c r="E389" s="41" t="s">
        <v>306</v>
      </c>
      <c r="F389" s="41" t="s">
        <v>341</v>
      </c>
      <c r="G389" s="42" t="s">
        <v>342</v>
      </c>
      <c r="H389" s="46" t="s">
        <v>23</v>
      </c>
      <c r="I389" s="63" t="s">
        <v>573</v>
      </c>
      <c r="J389" s="71">
        <v>1990</v>
      </c>
      <c r="K389" s="66" t="s">
        <v>25</v>
      </c>
      <c r="L389" s="41">
        <v>3</v>
      </c>
      <c r="M389" s="47">
        <v>2</v>
      </c>
      <c r="N389" s="47">
        <v>500</v>
      </c>
      <c r="O389" s="43">
        <f t="shared" si="118"/>
        <v>7</v>
      </c>
      <c r="P389" s="47">
        <v>359</v>
      </c>
      <c r="Q389" s="47">
        <v>346</v>
      </c>
      <c r="R389" s="47">
        <v>351</v>
      </c>
      <c r="S389" s="48">
        <f t="shared" si="116"/>
        <v>720</v>
      </c>
      <c r="T389" s="43">
        <f t="shared" si="117"/>
        <v>352</v>
      </c>
      <c r="U389" s="44">
        <f t="shared" si="106"/>
        <v>49</v>
      </c>
      <c r="V389" s="45">
        <v>382</v>
      </c>
      <c r="W389" s="45">
        <v>2980</v>
      </c>
      <c r="X389" s="45" t="s">
        <v>41</v>
      </c>
      <c r="Y389" s="45" t="s">
        <v>42</v>
      </c>
      <c r="Z389" s="1">
        <f t="shared" si="119"/>
        <v>323.5</v>
      </c>
      <c r="AA389" s="1">
        <f t="shared" si="120"/>
        <v>302.24286592076908</v>
      </c>
    </row>
    <row r="390" spans="1:27" s="49" customFormat="1" ht="16.5" customHeight="1" thickBot="1" x14ac:dyDescent="0.25">
      <c r="A390" s="98">
        <v>383</v>
      </c>
      <c r="B390" s="102" t="s">
        <v>35</v>
      </c>
      <c r="C390" s="103" t="s">
        <v>36</v>
      </c>
      <c r="D390" s="103" t="s">
        <v>37</v>
      </c>
      <c r="E390" s="103" t="s">
        <v>306</v>
      </c>
      <c r="F390" s="103" t="s">
        <v>341</v>
      </c>
      <c r="G390" s="99" t="s">
        <v>344</v>
      </c>
      <c r="H390" s="115" t="s">
        <v>23</v>
      </c>
      <c r="I390" s="128" t="s">
        <v>596</v>
      </c>
      <c r="J390" s="122">
        <v>2020</v>
      </c>
      <c r="K390" s="116" t="s">
        <v>25</v>
      </c>
      <c r="L390" s="103">
        <v>3</v>
      </c>
      <c r="M390" s="117">
        <v>8</v>
      </c>
      <c r="N390" s="117">
        <v>1000</v>
      </c>
      <c r="O390" s="118">
        <f t="shared" si="118"/>
        <v>5</v>
      </c>
      <c r="P390" s="117">
        <v>469</v>
      </c>
      <c r="Q390" s="117">
        <v>475</v>
      </c>
      <c r="R390" s="117">
        <v>466</v>
      </c>
      <c r="S390" s="120">
        <f t="shared" si="116"/>
        <v>1440</v>
      </c>
      <c r="T390" s="118">
        <f t="shared" si="117"/>
        <v>470</v>
      </c>
      <c r="U390" s="100">
        <f t="shared" si="106"/>
        <v>33</v>
      </c>
      <c r="V390" s="104">
        <v>382</v>
      </c>
      <c r="W390" s="104">
        <v>2980</v>
      </c>
      <c r="X390" s="104" t="s">
        <v>41</v>
      </c>
      <c r="Y390" s="104" t="s">
        <v>42</v>
      </c>
      <c r="Z390" s="1"/>
      <c r="AA390" s="1"/>
    </row>
    <row r="391" spans="1:27" s="49" customFormat="1" ht="16.5" customHeight="1" thickBot="1" x14ac:dyDescent="0.25">
      <c r="A391" s="98">
        <v>384</v>
      </c>
      <c r="B391" s="102" t="s">
        <v>35</v>
      </c>
      <c r="C391" s="103" t="s">
        <v>36</v>
      </c>
      <c r="D391" s="103" t="s">
        <v>37</v>
      </c>
      <c r="E391" s="103" t="s">
        <v>306</v>
      </c>
      <c r="F391" s="103" t="s">
        <v>341</v>
      </c>
      <c r="G391" s="99" t="s">
        <v>345</v>
      </c>
      <c r="H391" s="115" t="s">
        <v>23</v>
      </c>
      <c r="I391" s="128" t="s">
        <v>596</v>
      </c>
      <c r="J391" s="122">
        <v>2020</v>
      </c>
      <c r="K391" s="116" t="s">
        <v>25</v>
      </c>
      <c r="L391" s="103">
        <v>3</v>
      </c>
      <c r="M391" s="117">
        <v>4</v>
      </c>
      <c r="N391" s="117">
        <v>1000</v>
      </c>
      <c r="O391" s="118">
        <f t="shared" si="118"/>
        <v>6.3333333333333144</v>
      </c>
      <c r="P391" s="117">
        <v>456</v>
      </c>
      <c r="Q391" s="117">
        <v>451</v>
      </c>
      <c r="R391" s="117">
        <v>442</v>
      </c>
      <c r="S391" s="120">
        <f t="shared" si="116"/>
        <v>1440</v>
      </c>
      <c r="T391" s="118">
        <f t="shared" si="117"/>
        <v>449.66666666666669</v>
      </c>
      <c r="U391" s="100">
        <f t="shared" si="106"/>
        <v>31</v>
      </c>
      <c r="V391" s="104">
        <v>382</v>
      </c>
      <c r="W391" s="104">
        <v>2980</v>
      </c>
      <c r="X391" s="104" t="s">
        <v>41</v>
      </c>
      <c r="Y391" s="104" t="s">
        <v>42</v>
      </c>
      <c r="Z391" s="1"/>
      <c r="AA391" s="1"/>
    </row>
    <row r="392" spans="1:27" s="49" customFormat="1" ht="16.5" customHeight="1" thickBot="1" x14ac:dyDescent="0.25">
      <c r="A392" s="98">
        <v>385</v>
      </c>
      <c r="B392" s="102" t="s">
        <v>35</v>
      </c>
      <c r="C392" s="103" t="s">
        <v>36</v>
      </c>
      <c r="D392" s="103" t="s">
        <v>37</v>
      </c>
      <c r="E392" s="103" t="s">
        <v>306</v>
      </c>
      <c r="F392" s="103" t="s">
        <v>341</v>
      </c>
      <c r="G392" s="99" t="s">
        <v>346</v>
      </c>
      <c r="H392" s="115" t="s">
        <v>23</v>
      </c>
      <c r="I392" s="128" t="s">
        <v>596</v>
      </c>
      <c r="J392" s="122">
        <v>2020</v>
      </c>
      <c r="K392" s="116" t="s">
        <v>25</v>
      </c>
      <c r="L392" s="103">
        <v>3</v>
      </c>
      <c r="M392" s="117">
        <v>5</v>
      </c>
      <c r="N392" s="117">
        <v>1000</v>
      </c>
      <c r="O392" s="118">
        <f t="shared" si="118"/>
        <v>5.3333333333333144</v>
      </c>
      <c r="P392" s="117">
        <v>470</v>
      </c>
      <c r="Q392" s="117">
        <v>468</v>
      </c>
      <c r="R392" s="117">
        <v>456</v>
      </c>
      <c r="S392" s="120">
        <f t="shared" si="116"/>
        <v>1440</v>
      </c>
      <c r="T392" s="118">
        <f t="shared" si="117"/>
        <v>464.66666666666669</v>
      </c>
      <c r="U392" s="100">
        <f t="shared" si="106"/>
        <v>32</v>
      </c>
      <c r="V392" s="104">
        <v>380</v>
      </c>
      <c r="W392" s="104">
        <v>2980</v>
      </c>
      <c r="X392" s="104" t="s">
        <v>41</v>
      </c>
      <c r="Y392" s="104" t="s">
        <v>42</v>
      </c>
      <c r="Z392" s="1"/>
      <c r="AA392" s="1"/>
    </row>
    <row r="393" spans="1:27" s="49" customFormat="1" ht="16.5" customHeight="1" thickBot="1" x14ac:dyDescent="0.25">
      <c r="A393" s="98">
        <v>386</v>
      </c>
      <c r="B393" s="102" t="s">
        <v>35</v>
      </c>
      <c r="C393" s="103" t="s">
        <v>36</v>
      </c>
      <c r="D393" s="103" t="s">
        <v>37</v>
      </c>
      <c r="E393" s="103" t="s">
        <v>306</v>
      </c>
      <c r="F393" s="103" t="s">
        <v>341</v>
      </c>
      <c r="G393" s="99" t="s">
        <v>347</v>
      </c>
      <c r="H393" s="115" t="s">
        <v>23</v>
      </c>
      <c r="I393" s="128" t="s">
        <v>596</v>
      </c>
      <c r="J393" s="122">
        <v>2020</v>
      </c>
      <c r="K393" s="116" t="s">
        <v>25</v>
      </c>
      <c r="L393" s="103">
        <v>3</v>
      </c>
      <c r="M393" s="117">
        <v>7</v>
      </c>
      <c r="N393" s="117">
        <v>1000</v>
      </c>
      <c r="O393" s="118">
        <f t="shared" si="118"/>
        <v>4.6666666666666856</v>
      </c>
      <c r="P393" s="117">
        <v>472</v>
      </c>
      <c r="Q393" s="117">
        <v>481</v>
      </c>
      <c r="R393" s="117">
        <v>476</v>
      </c>
      <c r="S393" s="120">
        <f t="shared" si="116"/>
        <v>1440</v>
      </c>
      <c r="T393" s="118">
        <f t="shared" si="117"/>
        <v>476.33333333333331</v>
      </c>
      <c r="U393" s="100">
        <f t="shared" si="106"/>
        <v>33</v>
      </c>
      <c r="V393" s="104">
        <v>380</v>
      </c>
      <c r="W393" s="104">
        <v>2980</v>
      </c>
      <c r="X393" s="104" t="s">
        <v>41</v>
      </c>
      <c r="Y393" s="104" t="s">
        <v>42</v>
      </c>
      <c r="Z393" s="1"/>
      <c r="AA393" s="1"/>
    </row>
    <row r="394" spans="1:27" s="49" customFormat="1" ht="16.5" customHeight="1" thickBot="1" x14ac:dyDescent="0.25">
      <c r="A394" s="98">
        <v>387</v>
      </c>
      <c r="B394" s="102" t="s">
        <v>35</v>
      </c>
      <c r="C394" s="103" t="s">
        <v>36</v>
      </c>
      <c r="D394" s="103" t="s">
        <v>37</v>
      </c>
      <c r="E394" s="103" t="s">
        <v>306</v>
      </c>
      <c r="F394" s="103" t="s">
        <v>341</v>
      </c>
      <c r="G394" s="99" t="s">
        <v>348</v>
      </c>
      <c r="H394" s="115" t="s">
        <v>23</v>
      </c>
      <c r="I394" s="128" t="s">
        <v>596</v>
      </c>
      <c r="J394" s="122">
        <v>2020</v>
      </c>
      <c r="K394" s="116" t="s">
        <v>25</v>
      </c>
      <c r="L394" s="103">
        <v>3</v>
      </c>
      <c r="M394" s="117">
        <v>6</v>
      </c>
      <c r="N394" s="117">
        <v>1000</v>
      </c>
      <c r="O394" s="118">
        <f t="shared" si="118"/>
        <v>5.6666666666666856</v>
      </c>
      <c r="P394" s="117">
        <v>480</v>
      </c>
      <c r="Q394" s="117">
        <v>473</v>
      </c>
      <c r="R394" s="117">
        <v>485</v>
      </c>
      <c r="S394" s="120">
        <f t="shared" si="116"/>
        <v>1440</v>
      </c>
      <c r="T394" s="118">
        <f t="shared" si="117"/>
        <v>479.33333333333331</v>
      </c>
      <c r="U394" s="100">
        <f t="shared" si="106"/>
        <v>33</v>
      </c>
      <c r="V394" s="104">
        <v>381</v>
      </c>
      <c r="W394" s="104">
        <v>2980</v>
      </c>
      <c r="X394" s="104" t="s">
        <v>41</v>
      </c>
      <c r="Y394" s="104" t="s">
        <v>42</v>
      </c>
      <c r="Z394" s="1"/>
      <c r="AA394" s="1"/>
    </row>
    <row r="395" spans="1:27" s="49" customFormat="1" ht="16.5" customHeight="1" thickBot="1" x14ac:dyDescent="0.25">
      <c r="A395" s="98">
        <v>388</v>
      </c>
      <c r="B395" s="102" t="s">
        <v>35</v>
      </c>
      <c r="C395" s="103" t="s">
        <v>36</v>
      </c>
      <c r="D395" s="103" t="s">
        <v>37</v>
      </c>
      <c r="E395" s="103" t="s">
        <v>306</v>
      </c>
      <c r="F395" s="103" t="s">
        <v>341</v>
      </c>
      <c r="G395" s="99" t="s">
        <v>349</v>
      </c>
      <c r="H395" s="115" t="s">
        <v>23</v>
      </c>
      <c r="I395" s="107"/>
      <c r="J395" s="108"/>
      <c r="K395" s="116" t="s">
        <v>28</v>
      </c>
      <c r="L395" s="103">
        <v>3</v>
      </c>
      <c r="M395" s="117"/>
      <c r="N395" s="117">
        <v>500</v>
      </c>
      <c r="O395" s="118">
        <f t="shared" si="118"/>
        <v>6</v>
      </c>
      <c r="P395" s="117">
        <v>241</v>
      </c>
      <c r="Q395" s="117">
        <v>252</v>
      </c>
      <c r="R395" s="117">
        <v>245</v>
      </c>
      <c r="S395" s="120">
        <f t="shared" si="116"/>
        <v>720</v>
      </c>
      <c r="T395" s="118">
        <f t="shared" si="117"/>
        <v>246</v>
      </c>
      <c r="U395" s="100">
        <f t="shared" si="106"/>
        <v>34</v>
      </c>
      <c r="V395" s="104">
        <v>381</v>
      </c>
      <c r="W395" s="104">
        <v>2980</v>
      </c>
      <c r="X395" s="104" t="s">
        <v>41</v>
      </c>
      <c r="Y395" s="104" t="s">
        <v>42</v>
      </c>
      <c r="Z395" s="1"/>
      <c r="AA395" s="1"/>
    </row>
    <row r="396" spans="1:27" s="49" customFormat="1" ht="16.5" customHeight="1" thickBot="1" x14ac:dyDescent="0.25">
      <c r="A396" s="98">
        <v>389</v>
      </c>
      <c r="B396" s="102" t="s">
        <v>35</v>
      </c>
      <c r="C396" s="103" t="s">
        <v>36</v>
      </c>
      <c r="D396" s="103" t="s">
        <v>37</v>
      </c>
      <c r="E396" s="103" t="s">
        <v>306</v>
      </c>
      <c r="F396" s="103" t="s">
        <v>341</v>
      </c>
      <c r="G396" s="99" t="s">
        <v>350</v>
      </c>
      <c r="H396" s="115" t="s">
        <v>23</v>
      </c>
      <c r="I396" s="107"/>
      <c r="J396" s="108"/>
      <c r="K396" s="116" t="s">
        <v>28</v>
      </c>
      <c r="L396" s="103">
        <v>3</v>
      </c>
      <c r="M396" s="117"/>
      <c r="N396" s="117">
        <v>1000</v>
      </c>
      <c r="O396" s="118">
        <f t="shared" si="118"/>
        <v>6.6666666666666856</v>
      </c>
      <c r="P396" s="117">
        <v>501</v>
      </c>
      <c r="Q396" s="117">
        <v>485</v>
      </c>
      <c r="R396" s="117">
        <v>497</v>
      </c>
      <c r="S396" s="120">
        <f t="shared" si="116"/>
        <v>1440</v>
      </c>
      <c r="T396" s="118">
        <f t="shared" si="117"/>
        <v>494.33333333333331</v>
      </c>
      <c r="U396" s="100">
        <f t="shared" ref="U396:U459" si="121">ROUND(((AVERAGE(P396,R396,Q396))/(N396*1.44))*100,0)</f>
        <v>34</v>
      </c>
      <c r="V396" s="104">
        <v>380</v>
      </c>
      <c r="W396" s="104">
        <v>2980</v>
      </c>
      <c r="X396" s="104" t="s">
        <v>41</v>
      </c>
      <c r="Y396" s="104" t="s">
        <v>42</v>
      </c>
      <c r="Z396" s="1"/>
      <c r="AA396" s="1"/>
    </row>
    <row r="397" spans="1:27" s="49" customFormat="1" ht="16.5" customHeight="1" thickBot="1" x14ac:dyDescent="0.25">
      <c r="A397" s="84">
        <v>390</v>
      </c>
      <c r="B397" s="52" t="s">
        <v>35</v>
      </c>
      <c r="C397" s="41" t="s">
        <v>36</v>
      </c>
      <c r="D397" s="41" t="s">
        <v>37</v>
      </c>
      <c r="E397" s="41" t="s">
        <v>306</v>
      </c>
      <c r="F397" s="41" t="s">
        <v>341</v>
      </c>
      <c r="G397" s="42" t="s">
        <v>486</v>
      </c>
      <c r="H397" s="46" t="s">
        <v>26</v>
      </c>
      <c r="I397" s="62"/>
      <c r="J397" s="70"/>
      <c r="K397" s="66" t="s">
        <v>28</v>
      </c>
      <c r="L397" s="41">
        <v>3</v>
      </c>
      <c r="M397" s="47">
        <v>4</v>
      </c>
      <c r="N397" s="47">
        <v>500</v>
      </c>
      <c r="O397" s="43">
        <f t="shared" si="118"/>
        <v>10</v>
      </c>
      <c r="P397" s="47">
        <v>234</v>
      </c>
      <c r="Q397" s="47">
        <v>224</v>
      </c>
      <c r="R397" s="47">
        <v>244</v>
      </c>
      <c r="S397" s="48">
        <f t="shared" si="116"/>
        <v>720</v>
      </c>
      <c r="T397" s="43">
        <f t="shared" si="117"/>
        <v>234</v>
      </c>
      <c r="U397" s="44">
        <f t="shared" si="121"/>
        <v>33</v>
      </c>
      <c r="V397" s="45">
        <v>380</v>
      </c>
      <c r="W397" s="45">
        <v>2980</v>
      </c>
      <c r="X397" s="45" t="s">
        <v>41</v>
      </c>
      <c r="Y397" s="45" t="s">
        <v>42</v>
      </c>
      <c r="Z397" s="1"/>
      <c r="AA397" s="1"/>
    </row>
    <row r="398" spans="1:27" s="49" customFormat="1" ht="16.5" customHeight="1" thickBot="1" x14ac:dyDescent="0.25">
      <c r="A398" s="98">
        <v>391</v>
      </c>
      <c r="B398" s="102" t="s">
        <v>35</v>
      </c>
      <c r="C398" s="103" t="s">
        <v>36</v>
      </c>
      <c r="D398" s="103" t="s">
        <v>37</v>
      </c>
      <c r="E398" s="103" t="s">
        <v>306</v>
      </c>
      <c r="F398" s="103" t="s">
        <v>341</v>
      </c>
      <c r="G398" s="99" t="s">
        <v>343</v>
      </c>
      <c r="H398" s="115" t="s">
        <v>23</v>
      </c>
      <c r="I398" s="121" t="s">
        <v>573</v>
      </c>
      <c r="J398" s="122">
        <v>1981</v>
      </c>
      <c r="K398" s="116" t="s">
        <v>25</v>
      </c>
      <c r="L398" s="103">
        <v>3</v>
      </c>
      <c r="M398" s="117">
        <v>4</v>
      </c>
      <c r="N398" s="117">
        <v>500</v>
      </c>
      <c r="O398" s="118">
        <f t="shared" si="118"/>
        <v>7</v>
      </c>
      <c r="P398" s="117">
        <v>349</v>
      </c>
      <c r="Q398" s="117">
        <v>332</v>
      </c>
      <c r="R398" s="117">
        <v>345</v>
      </c>
      <c r="S398" s="120">
        <f t="shared" ref="S398:S399" si="122">1.44*N398</f>
        <v>720</v>
      </c>
      <c r="T398" s="118">
        <f t="shared" ref="T398:T399" si="123">(R398+Q398+P398)/3</f>
        <v>342</v>
      </c>
      <c r="U398" s="100">
        <f t="shared" si="121"/>
        <v>48</v>
      </c>
      <c r="V398" s="104">
        <v>381</v>
      </c>
      <c r="W398" s="104">
        <v>2980</v>
      </c>
      <c r="X398" s="104" t="s">
        <v>41</v>
      </c>
      <c r="Y398" s="104" t="s">
        <v>42</v>
      </c>
      <c r="Z398" s="1">
        <f>N398-0.5*R398-0.5*M398</f>
        <v>325.5</v>
      </c>
      <c r="AA398" s="1">
        <f>SQRT(3)/2*R398-SQRT(3)/2*M398</f>
        <v>295.31466269049361</v>
      </c>
    </row>
    <row r="399" spans="1:27" s="49" customFormat="1" ht="16.5" customHeight="1" thickBot="1" x14ac:dyDescent="0.25">
      <c r="A399" s="98">
        <v>392</v>
      </c>
      <c r="B399" s="102" t="s">
        <v>35</v>
      </c>
      <c r="C399" s="103" t="s">
        <v>36</v>
      </c>
      <c r="D399" s="103" t="s">
        <v>37</v>
      </c>
      <c r="E399" s="103" t="s">
        <v>306</v>
      </c>
      <c r="F399" s="103" t="s">
        <v>341</v>
      </c>
      <c r="G399" s="99" t="s">
        <v>251</v>
      </c>
      <c r="H399" s="115" t="s">
        <v>23</v>
      </c>
      <c r="I399" s="121"/>
      <c r="J399" s="122"/>
      <c r="K399" s="116" t="s">
        <v>25</v>
      </c>
      <c r="L399" s="103">
        <v>3</v>
      </c>
      <c r="M399" s="103">
        <v>4</v>
      </c>
      <c r="N399" s="117">
        <v>1000</v>
      </c>
      <c r="O399" s="118">
        <f t="shared" si="118"/>
        <v>6.3333333333333712</v>
      </c>
      <c r="P399" s="117">
        <v>566</v>
      </c>
      <c r="Q399" s="117">
        <v>577</v>
      </c>
      <c r="R399" s="117">
        <v>569</v>
      </c>
      <c r="S399" s="120">
        <f t="shared" si="122"/>
        <v>1440</v>
      </c>
      <c r="T399" s="118">
        <f t="shared" si="123"/>
        <v>570.66666666666663</v>
      </c>
      <c r="U399" s="100">
        <f t="shared" si="121"/>
        <v>40</v>
      </c>
      <c r="V399" s="104">
        <v>380</v>
      </c>
      <c r="W399" s="104">
        <v>3650</v>
      </c>
      <c r="X399" s="104" t="s">
        <v>56</v>
      </c>
      <c r="Y399" s="104" t="s">
        <v>42</v>
      </c>
      <c r="Z399" s="1"/>
      <c r="AA399" s="1"/>
    </row>
    <row r="400" spans="1:27" s="49" customFormat="1" ht="16.5" customHeight="1" thickBot="1" x14ac:dyDescent="0.25">
      <c r="A400" s="84">
        <v>393</v>
      </c>
      <c r="B400" s="52" t="s">
        <v>35</v>
      </c>
      <c r="C400" s="41" t="s">
        <v>36</v>
      </c>
      <c r="D400" s="41" t="s">
        <v>37</v>
      </c>
      <c r="E400" s="41" t="s">
        <v>306</v>
      </c>
      <c r="F400" s="41" t="s">
        <v>341</v>
      </c>
      <c r="G400" s="42" t="s">
        <v>485</v>
      </c>
      <c r="H400" s="46" t="s">
        <v>26</v>
      </c>
      <c r="I400" s="62"/>
      <c r="J400" s="70"/>
      <c r="K400" s="66" t="s">
        <v>28</v>
      </c>
      <c r="L400" s="41">
        <v>3</v>
      </c>
      <c r="M400" s="47"/>
      <c r="N400" s="47">
        <v>100</v>
      </c>
      <c r="O400" s="43" t="e">
        <f t="shared" si="118"/>
        <v>#DIV/0!</v>
      </c>
      <c r="P400" s="141" t="s">
        <v>548</v>
      </c>
      <c r="Q400" s="142"/>
      <c r="R400" s="142"/>
      <c r="S400" s="142"/>
      <c r="T400" s="143"/>
      <c r="U400" s="44" t="e">
        <f t="shared" si="121"/>
        <v>#DIV/0!</v>
      </c>
      <c r="V400" s="45">
        <v>380</v>
      </c>
      <c r="W400" s="45">
        <v>2980</v>
      </c>
      <c r="X400" s="45" t="s">
        <v>41</v>
      </c>
      <c r="Y400" s="45" t="s">
        <v>42</v>
      </c>
      <c r="Z400" s="1">
        <f>N400-0.5*R400-0.5*M400</f>
        <v>100</v>
      </c>
      <c r="AA400" s="1">
        <f>SQRT(3)/2*R400-SQRT(3)/2*M400</f>
        <v>0</v>
      </c>
    </row>
    <row r="401" spans="1:27" s="49" customFormat="1" ht="16.5" customHeight="1" thickBot="1" x14ac:dyDescent="0.25">
      <c r="A401" s="98">
        <v>394</v>
      </c>
      <c r="B401" s="102" t="s">
        <v>35</v>
      </c>
      <c r="C401" s="103" t="s">
        <v>36</v>
      </c>
      <c r="D401" s="103" t="s">
        <v>37</v>
      </c>
      <c r="E401" s="103" t="s">
        <v>351</v>
      </c>
      <c r="F401" s="103" t="s">
        <v>352</v>
      </c>
      <c r="G401" s="99" t="s">
        <v>353</v>
      </c>
      <c r="H401" s="115" t="s">
        <v>23</v>
      </c>
      <c r="I401" s="121"/>
      <c r="J401" s="122"/>
      <c r="K401" s="116" t="s">
        <v>25</v>
      </c>
      <c r="L401" s="103">
        <v>3</v>
      </c>
      <c r="M401" s="117">
        <v>4</v>
      </c>
      <c r="N401" s="117">
        <v>1000</v>
      </c>
      <c r="O401" s="118">
        <f t="shared" si="118"/>
        <v>7.6666666666666856</v>
      </c>
      <c r="P401" s="117">
        <v>513</v>
      </c>
      <c r="Q401" s="117">
        <v>507</v>
      </c>
      <c r="R401" s="117">
        <v>496</v>
      </c>
      <c r="S401" s="120">
        <f t="shared" ref="S401:S404" si="124">1.44*N401</f>
        <v>1440</v>
      </c>
      <c r="T401" s="118">
        <f t="shared" ref="T401:T404" si="125">(R401+Q401+P401)/3</f>
        <v>505.33333333333331</v>
      </c>
      <c r="U401" s="100">
        <f t="shared" si="121"/>
        <v>35</v>
      </c>
      <c r="V401" s="104">
        <v>382</v>
      </c>
      <c r="W401" s="104">
        <v>4700</v>
      </c>
      <c r="X401" s="104" t="s">
        <v>41</v>
      </c>
      <c r="Y401" s="104" t="s">
        <v>42</v>
      </c>
      <c r="Z401" s="1">
        <f>N401-0.5*R401-0.5*M401</f>
        <v>750</v>
      </c>
      <c r="AA401" s="1">
        <f>SQRT(3)/2*R401-SQRT(3)/2*M401</f>
        <v>426.08449866194383</v>
      </c>
    </row>
    <row r="402" spans="1:27" s="49" customFormat="1" ht="16.5" customHeight="1" thickBot="1" x14ac:dyDescent="0.25">
      <c r="A402" s="84">
        <v>395</v>
      </c>
      <c r="B402" s="52" t="s">
        <v>35</v>
      </c>
      <c r="C402" s="41" t="s">
        <v>36</v>
      </c>
      <c r="D402" s="41" t="s">
        <v>37</v>
      </c>
      <c r="E402" s="41" t="s">
        <v>351</v>
      </c>
      <c r="F402" s="41" t="s">
        <v>352</v>
      </c>
      <c r="G402" s="42" t="s">
        <v>354</v>
      </c>
      <c r="H402" s="46" t="s">
        <v>23</v>
      </c>
      <c r="I402" s="62"/>
      <c r="J402" s="70"/>
      <c r="K402" s="66" t="s">
        <v>28</v>
      </c>
      <c r="L402" s="41">
        <v>3</v>
      </c>
      <c r="M402" s="47">
        <v>2</v>
      </c>
      <c r="N402" s="47">
        <v>300</v>
      </c>
      <c r="O402" s="43">
        <f t="shared" si="118"/>
        <v>6.3333333333333428</v>
      </c>
      <c r="P402" s="47">
        <v>214</v>
      </c>
      <c r="Q402" s="47">
        <v>219</v>
      </c>
      <c r="R402" s="47">
        <v>226</v>
      </c>
      <c r="S402" s="48">
        <f t="shared" si="124"/>
        <v>432</v>
      </c>
      <c r="T402" s="43">
        <f t="shared" si="125"/>
        <v>219.66666666666666</v>
      </c>
      <c r="U402" s="44">
        <f t="shared" si="121"/>
        <v>51</v>
      </c>
      <c r="V402" s="45">
        <v>380</v>
      </c>
      <c r="W402" s="45">
        <v>4700</v>
      </c>
      <c r="X402" s="45" t="s">
        <v>41</v>
      </c>
      <c r="Y402" s="45" t="s">
        <v>42</v>
      </c>
      <c r="Z402" s="1"/>
      <c r="AA402" s="1"/>
    </row>
    <row r="403" spans="1:27" s="49" customFormat="1" ht="16.5" customHeight="1" thickBot="1" x14ac:dyDescent="0.25">
      <c r="A403" s="84">
        <v>396</v>
      </c>
      <c r="B403" s="52" t="s">
        <v>35</v>
      </c>
      <c r="C403" s="41" t="s">
        <v>36</v>
      </c>
      <c r="D403" s="41" t="s">
        <v>37</v>
      </c>
      <c r="E403" s="41" t="s">
        <v>351</v>
      </c>
      <c r="F403" s="41" t="s">
        <v>352</v>
      </c>
      <c r="G403" s="42" t="s">
        <v>488</v>
      </c>
      <c r="H403" s="46" t="s">
        <v>26</v>
      </c>
      <c r="I403" s="62"/>
      <c r="J403" s="70"/>
      <c r="K403" s="66" t="s">
        <v>28</v>
      </c>
      <c r="L403" s="41">
        <v>3</v>
      </c>
      <c r="M403" s="47"/>
      <c r="N403" s="47">
        <v>500</v>
      </c>
      <c r="O403" s="43">
        <f t="shared" si="118"/>
        <v>11</v>
      </c>
      <c r="P403" s="47">
        <v>295</v>
      </c>
      <c r="Q403" s="47">
        <v>315</v>
      </c>
      <c r="R403" s="47">
        <v>302</v>
      </c>
      <c r="S403" s="48">
        <f t="shared" si="124"/>
        <v>720</v>
      </c>
      <c r="T403" s="43">
        <f t="shared" si="125"/>
        <v>304</v>
      </c>
      <c r="U403" s="44">
        <f t="shared" si="121"/>
        <v>42</v>
      </c>
      <c r="V403" s="45">
        <v>380</v>
      </c>
      <c r="W403" s="45">
        <v>4700</v>
      </c>
      <c r="X403" s="45" t="s">
        <v>41</v>
      </c>
      <c r="Y403" s="45" t="s">
        <v>42</v>
      </c>
      <c r="Z403" s="1"/>
      <c r="AA403" s="1"/>
    </row>
    <row r="404" spans="1:27" s="49" customFormat="1" ht="16.5" customHeight="1" thickBot="1" x14ac:dyDescent="0.25">
      <c r="A404" s="84">
        <v>397</v>
      </c>
      <c r="B404" s="52" t="s">
        <v>35</v>
      </c>
      <c r="C404" s="41" t="s">
        <v>36</v>
      </c>
      <c r="D404" s="41" t="s">
        <v>37</v>
      </c>
      <c r="E404" s="41" t="s">
        <v>351</v>
      </c>
      <c r="F404" s="41" t="s">
        <v>352</v>
      </c>
      <c r="G404" s="42" t="s">
        <v>489</v>
      </c>
      <c r="H404" s="46" t="s">
        <v>26</v>
      </c>
      <c r="I404" s="62"/>
      <c r="J404" s="70"/>
      <c r="K404" s="66" t="s">
        <v>28</v>
      </c>
      <c r="L404" s="41">
        <v>3</v>
      </c>
      <c r="M404" s="47"/>
      <c r="N404" s="47">
        <v>100</v>
      </c>
      <c r="O404" s="43">
        <f t="shared" si="118"/>
        <v>5.6666666666666643</v>
      </c>
      <c r="P404" s="47">
        <v>69</v>
      </c>
      <c r="Q404" s="47">
        <v>59</v>
      </c>
      <c r="R404" s="47">
        <v>62</v>
      </c>
      <c r="S404" s="48">
        <f t="shared" si="124"/>
        <v>144</v>
      </c>
      <c r="T404" s="43">
        <f t="shared" si="125"/>
        <v>63.333333333333336</v>
      </c>
      <c r="U404" s="44">
        <f t="shared" si="121"/>
        <v>44</v>
      </c>
      <c r="V404" s="45">
        <v>380</v>
      </c>
      <c r="W404" s="45">
        <v>4700</v>
      </c>
      <c r="X404" s="45" t="s">
        <v>41</v>
      </c>
      <c r="Y404" s="45" t="s">
        <v>42</v>
      </c>
      <c r="Z404" s="1"/>
      <c r="AA404" s="1"/>
    </row>
    <row r="405" spans="1:27" s="49" customFormat="1" ht="16.5" customHeight="1" thickBot="1" x14ac:dyDescent="0.25">
      <c r="A405" s="98">
        <v>398</v>
      </c>
      <c r="B405" s="102" t="s">
        <v>35</v>
      </c>
      <c r="C405" s="103" t="s">
        <v>36</v>
      </c>
      <c r="D405" s="103" t="s">
        <v>37</v>
      </c>
      <c r="E405" s="103" t="s">
        <v>351</v>
      </c>
      <c r="F405" s="103" t="s">
        <v>352</v>
      </c>
      <c r="G405" s="99" t="s">
        <v>355</v>
      </c>
      <c r="H405" s="115" t="s">
        <v>23</v>
      </c>
      <c r="I405" s="107"/>
      <c r="J405" s="108"/>
      <c r="K405" s="116" t="s">
        <v>28</v>
      </c>
      <c r="L405" s="103">
        <v>3</v>
      </c>
      <c r="M405" s="117">
        <v>1</v>
      </c>
      <c r="N405" s="117">
        <v>500</v>
      </c>
      <c r="O405" s="118">
        <f t="shared" si="118"/>
        <v>6</v>
      </c>
      <c r="P405" s="117">
        <v>231</v>
      </c>
      <c r="Q405" s="117">
        <v>225</v>
      </c>
      <c r="R405" s="117">
        <v>219</v>
      </c>
      <c r="S405" s="120">
        <f t="shared" ref="S405:S412" si="126">1.44*N405</f>
        <v>720</v>
      </c>
      <c r="T405" s="118">
        <f t="shared" ref="T405:T412" si="127">(R405+Q405+P405)/3</f>
        <v>225</v>
      </c>
      <c r="U405" s="100">
        <f t="shared" si="121"/>
        <v>31</v>
      </c>
      <c r="V405" s="104">
        <v>380</v>
      </c>
      <c r="W405" s="104">
        <v>4700</v>
      </c>
      <c r="X405" s="104" t="s">
        <v>41</v>
      </c>
      <c r="Y405" s="104" t="s">
        <v>42</v>
      </c>
      <c r="Z405" s="1"/>
      <c r="AA405" s="1"/>
    </row>
    <row r="406" spans="1:27" s="49" customFormat="1" ht="16.5" customHeight="1" thickBot="1" x14ac:dyDescent="0.25">
      <c r="A406" s="84">
        <v>399</v>
      </c>
      <c r="B406" s="52" t="s">
        <v>35</v>
      </c>
      <c r="C406" s="41" t="s">
        <v>36</v>
      </c>
      <c r="D406" s="41" t="s">
        <v>37</v>
      </c>
      <c r="E406" s="41" t="s">
        <v>351</v>
      </c>
      <c r="F406" s="41" t="s">
        <v>352</v>
      </c>
      <c r="G406" s="42" t="s">
        <v>553</v>
      </c>
      <c r="H406" s="46" t="s">
        <v>23</v>
      </c>
      <c r="I406" s="62" t="s">
        <v>573</v>
      </c>
      <c r="J406" s="70">
        <v>2018</v>
      </c>
      <c r="K406" s="66" t="s">
        <v>28</v>
      </c>
      <c r="L406" s="41">
        <v>3</v>
      </c>
      <c r="M406" s="47"/>
      <c r="N406" s="47">
        <v>200</v>
      </c>
      <c r="O406" s="43">
        <f t="shared" si="118"/>
        <v>7.3333333333333286</v>
      </c>
      <c r="P406" s="47">
        <v>122</v>
      </c>
      <c r="Q406" s="47">
        <v>109</v>
      </c>
      <c r="R406" s="47">
        <v>113</v>
      </c>
      <c r="S406" s="48">
        <f t="shared" si="126"/>
        <v>288</v>
      </c>
      <c r="T406" s="43">
        <f t="shared" si="127"/>
        <v>114.66666666666667</v>
      </c>
      <c r="U406" s="44">
        <f t="shared" si="121"/>
        <v>40</v>
      </c>
      <c r="V406" s="45">
        <v>382</v>
      </c>
      <c r="W406" s="45">
        <v>4700</v>
      </c>
      <c r="X406" s="45" t="s">
        <v>41</v>
      </c>
      <c r="Y406" s="45" t="s">
        <v>42</v>
      </c>
      <c r="Z406" s="1"/>
      <c r="AA406" s="1"/>
    </row>
    <row r="407" spans="1:27" s="49" customFormat="1" ht="16.5" customHeight="1" thickBot="1" x14ac:dyDescent="0.25">
      <c r="A407" s="84">
        <v>400</v>
      </c>
      <c r="B407" s="52" t="s">
        <v>35</v>
      </c>
      <c r="C407" s="41" t="s">
        <v>36</v>
      </c>
      <c r="D407" s="41" t="s">
        <v>37</v>
      </c>
      <c r="E407" s="41" t="s">
        <v>351</v>
      </c>
      <c r="F407" s="41" t="s">
        <v>352</v>
      </c>
      <c r="G407" s="42" t="s">
        <v>570</v>
      </c>
      <c r="H407" s="46" t="s">
        <v>23</v>
      </c>
      <c r="I407" s="79" t="s">
        <v>599</v>
      </c>
      <c r="J407" s="71">
        <v>1974</v>
      </c>
      <c r="K407" s="66" t="s">
        <v>25</v>
      </c>
      <c r="L407" s="41">
        <v>3</v>
      </c>
      <c r="M407" s="47">
        <v>3</v>
      </c>
      <c r="N407" s="47">
        <v>200</v>
      </c>
      <c r="O407" s="43">
        <f t="shared" si="118"/>
        <v>6</v>
      </c>
      <c r="P407" s="47">
        <v>196</v>
      </c>
      <c r="Q407" s="47">
        <v>190</v>
      </c>
      <c r="R407" s="47">
        <v>202</v>
      </c>
      <c r="S407" s="48">
        <f t="shared" si="126"/>
        <v>288</v>
      </c>
      <c r="T407" s="43">
        <f t="shared" si="127"/>
        <v>196</v>
      </c>
      <c r="U407" s="44">
        <f t="shared" si="121"/>
        <v>68</v>
      </c>
      <c r="V407" s="45">
        <v>380</v>
      </c>
      <c r="W407" s="45">
        <v>4700</v>
      </c>
      <c r="X407" s="45" t="s">
        <v>41</v>
      </c>
      <c r="Y407" s="45" t="s">
        <v>42</v>
      </c>
      <c r="Z407" s="1"/>
      <c r="AA407" s="1"/>
    </row>
    <row r="408" spans="1:27" s="49" customFormat="1" ht="16.5" customHeight="1" thickBot="1" x14ac:dyDescent="0.25">
      <c r="A408" s="84">
        <v>401</v>
      </c>
      <c r="B408" s="52" t="s">
        <v>35</v>
      </c>
      <c r="C408" s="41" t="s">
        <v>36</v>
      </c>
      <c r="D408" s="41" t="s">
        <v>37</v>
      </c>
      <c r="E408" s="41" t="s">
        <v>351</v>
      </c>
      <c r="F408" s="41" t="s">
        <v>352</v>
      </c>
      <c r="G408" s="42" t="s">
        <v>569</v>
      </c>
      <c r="H408" s="46" t="s">
        <v>23</v>
      </c>
      <c r="I408" s="63" t="s">
        <v>591</v>
      </c>
      <c r="J408" s="71">
        <v>2013</v>
      </c>
      <c r="K408" s="66" t="s">
        <v>25</v>
      </c>
      <c r="L408" s="41">
        <v>3</v>
      </c>
      <c r="M408" s="47">
        <v>4</v>
      </c>
      <c r="N408" s="47">
        <v>1000</v>
      </c>
      <c r="O408" s="43">
        <f t="shared" si="118"/>
        <v>7.3333333333333712</v>
      </c>
      <c r="P408" s="47">
        <v>570</v>
      </c>
      <c r="Q408" s="47">
        <v>576</v>
      </c>
      <c r="R408" s="47">
        <v>584</v>
      </c>
      <c r="S408" s="48">
        <f t="shared" si="126"/>
        <v>1440</v>
      </c>
      <c r="T408" s="43">
        <f t="shared" si="127"/>
        <v>576.66666666666663</v>
      </c>
      <c r="U408" s="44">
        <f t="shared" si="121"/>
        <v>40</v>
      </c>
      <c r="V408" s="45">
        <v>381</v>
      </c>
      <c r="W408" s="45">
        <v>4700</v>
      </c>
      <c r="X408" s="45" t="s">
        <v>41</v>
      </c>
      <c r="Y408" s="45" t="s">
        <v>42</v>
      </c>
      <c r="Z408" s="1">
        <f>N408-0.5*R408-0.5*M408</f>
        <v>706</v>
      </c>
      <c r="AA408" s="1">
        <f>SQRT(3)/2*R408-SQRT(3)/2*M408</f>
        <v>502.29473419497441</v>
      </c>
    </row>
    <row r="409" spans="1:27" s="49" customFormat="1" ht="16.5" customHeight="1" thickBot="1" x14ac:dyDescent="0.25">
      <c r="A409" s="84">
        <v>402</v>
      </c>
      <c r="B409" s="52" t="s">
        <v>35</v>
      </c>
      <c r="C409" s="41" t="s">
        <v>36</v>
      </c>
      <c r="D409" s="41" t="s">
        <v>37</v>
      </c>
      <c r="E409" s="41" t="s">
        <v>351</v>
      </c>
      <c r="F409" s="41" t="s">
        <v>352</v>
      </c>
      <c r="G409" s="42" t="s">
        <v>487</v>
      </c>
      <c r="H409" s="46" t="s">
        <v>26</v>
      </c>
      <c r="I409" s="63"/>
      <c r="J409" s="71"/>
      <c r="K409" s="66" t="s">
        <v>25</v>
      </c>
      <c r="L409" s="41">
        <v>3</v>
      </c>
      <c r="M409" s="47"/>
      <c r="N409" s="47">
        <v>500</v>
      </c>
      <c r="O409" s="43">
        <f t="shared" si="118"/>
        <v>4.3333333333333144</v>
      </c>
      <c r="P409" s="47">
        <v>295</v>
      </c>
      <c r="Q409" s="47">
        <v>302</v>
      </c>
      <c r="R409" s="47">
        <v>305</v>
      </c>
      <c r="S409" s="48">
        <f t="shared" si="126"/>
        <v>720</v>
      </c>
      <c r="T409" s="43">
        <f t="shared" si="127"/>
        <v>300.66666666666669</v>
      </c>
      <c r="U409" s="44">
        <f t="shared" si="121"/>
        <v>42</v>
      </c>
      <c r="V409" s="45">
        <v>381</v>
      </c>
      <c r="W409" s="45">
        <v>4700</v>
      </c>
      <c r="X409" s="45" t="s">
        <v>41</v>
      </c>
      <c r="Y409" s="45" t="s">
        <v>42</v>
      </c>
      <c r="Z409" s="1">
        <f>N409-0.5*R409-0.5*M409</f>
        <v>347.5</v>
      </c>
      <c r="AA409" s="1">
        <f>SQRT(3)/2*R409-SQRT(3)/2*M409</f>
        <v>264.13774815425376</v>
      </c>
    </row>
    <row r="410" spans="1:27" s="49" customFormat="1" ht="16.5" customHeight="1" thickBot="1" x14ac:dyDescent="0.25">
      <c r="A410" s="84">
        <v>403</v>
      </c>
      <c r="B410" s="52" t="s">
        <v>35</v>
      </c>
      <c r="C410" s="41" t="s">
        <v>36</v>
      </c>
      <c r="D410" s="41" t="s">
        <v>37</v>
      </c>
      <c r="E410" s="41" t="s">
        <v>351</v>
      </c>
      <c r="F410" s="41" t="s">
        <v>352</v>
      </c>
      <c r="G410" s="42" t="s">
        <v>503</v>
      </c>
      <c r="H410" s="46" t="s">
        <v>26</v>
      </c>
      <c r="I410" s="63"/>
      <c r="J410" s="71"/>
      <c r="K410" s="66" t="s">
        <v>25</v>
      </c>
      <c r="L410" s="41">
        <v>3</v>
      </c>
      <c r="M410" s="47"/>
      <c r="N410" s="47">
        <v>500</v>
      </c>
      <c r="O410" s="43">
        <f t="shared" si="118"/>
        <v>7</v>
      </c>
      <c r="P410" s="47">
        <v>304</v>
      </c>
      <c r="Q410" s="47">
        <v>297</v>
      </c>
      <c r="R410" s="47">
        <v>290</v>
      </c>
      <c r="S410" s="48">
        <f t="shared" si="126"/>
        <v>720</v>
      </c>
      <c r="T410" s="43">
        <f t="shared" si="127"/>
        <v>297</v>
      </c>
      <c r="U410" s="44">
        <f t="shared" si="121"/>
        <v>41</v>
      </c>
      <c r="V410" s="45">
        <v>380</v>
      </c>
      <c r="W410" s="45">
        <v>4700</v>
      </c>
      <c r="X410" s="45" t="s">
        <v>41</v>
      </c>
      <c r="Y410" s="45" t="s">
        <v>42</v>
      </c>
      <c r="Z410" s="1"/>
      <c r="AA410" s="1"/>
    </row>
    <row r="411" spans="1:27" s="49" customFormat="1" ht="16.5" customHeight="1" thickBot="1" x14ac:dyDescent="0.25">
      <c r="A411" s="84">
        <v>404</v>
      </c>
      <c r="B411" s="52" t="s">
        <v>35</v>
      </c>
      <c r="C411" s="41" t="s">
        <v>36</v>
      </c>
      <c r="D411" s="41" t="s">
        <v>37</v>
      </c>
      <c r="E411" s="41" t="s">
        <v>351</v>
      </c>
      <c r="F411" s="41" t="s">
        <v>356</v>
      </c>
      <c r="G411" s="42" t="s">
        <v>490</v>
      </c>
      <c r="H411" s="46" t="s">
        <v>26</v>
      </c>
      <c r="I411" s="63"/>
      <c r="J411" s="71"/>
      <c r="K411" s="66" t="s">
        <v>25</v>
      </c>
      <c r="L411" s="41">
        <v>3</v>
      </c>
      <c r="M411" s="47"/>
      <c r="N411" s="47">
        <v>500</v>
      </c>
      <c r="O411" s="43">
        <f t="shared" si="118"/>
        <v>7.3333333333333144</v>
      </c>
      <c r="P411" s="47">
        <v>295</v>
      </c>
      <c r="Q411" s="47">
        <v>299</v>
      </c>
      <c r="R411" s="47">
        <v>308</v>
      </c>
      <c r="S411" s="48">
        <f t="shared" si="126"/>
        <v>720</v>
      </c>
      <c r="T411" s="43">
        <f t="shared" si="127"/>
        <v>300.66666666666669</v>
      </c>
      <c r="U411" s="44">
        <f t="shared" si="121"/>
        <v>42</v>
      </c>
      <c r="V411" s="45">
        <v>381</v>
      </c>
      <c r="W411" s="45">
        <v>4700</v>
      </c>
      <c r="X411" s="45" t="s">
        <v>41</v>
      </c>
      <c r="Y411" s="45" t="s">
        <v>42</v>
      </c>
      <c r="Z411" s="1">
        <f>N411-0.5*R411-0.5*M411</f>
        <v>346</v>
      </c>
      <c r="AA411" s="1">
        <f>SQRT(3)/2*R411-SQRT(3)/2*M411</f>
        <v>266.73582436560707</v>
      </c>
    </row>
    <row r="412" spans="1:27" s="49" customFormat="1" ht="16.5" customHeight="1" thickBot="1" x14ac:dyDescent="0.25">
      <c r="A412" s="84">
        <v>405</v>
      </c>
      <c r="B412" s="52" t="s">
        <v>35</v>
      </c>
      <c r="C412" s="41" t="s">
        <v>36</v>
      </c>
      <c r="D412" s="41" t="s">
        <v>37</v>
      </c>
      <c r="E412" s="41" t="s">
        <v>351</v>
      </c>
      <c r="F412" s="41" t="s">
        <v>356</v>
      </c>
      <c r="G412" s="42" t="s">
        <v>491</v>
      </c>
      <c r="H412" s="46" t="s">
        <v>26</v>
      </c>
      <c r="I412" s="63"/>
      <c r="J412" s="71"/>
      <c r="K412" s="66" t="s">
        <v>25</v>
      </c>
      <c r="L412" s="41">
        <v>3</v>
      </c>
      <c r="M412" s="47"/>
      <c r="N412" s="47">
        <v>300</v>
      </c>
      <c r="O412" s="43">
        <f t="shared" si="118"/>
        <v>4.3333333333333428</v>
      </c>
      <c r="P412" s="47">
        <v>185</v>
      </c>
      <c r="Q412" s="47">
        <v>175</v>
      </c>
      <c r="R412" s="47">
        <v>182</v>
      </c>
      <c r="S412" s="48">
        <f t="shared" si="126"/>
        <v>432</v>
      </c>
      <c r="T412" s="43">
        <f t="shared" si="127"/>
        <v>180.66666666666666</v>
      </c>
      <c r="U412" s="44">
        <f t="shared" si="121"/>
        <v>42</v>
      </c>
      <c r="V412" s="45">
        <v>381</v>
      </c>
      <c r="W412" s="45">
        <v>4700</v>
      </c>
      <c r="X412" s="45" t="s">
        <v>41</v>
      </c>
      <c r="Y412" s="45" t="s">
        <v>42</v>
      </c>
      <c r="Z412" s="1">
        <f>N412-0.5*R412-0.5*M412</f>
        <v>209</v>
      </c>
      <c r="AA412" s="1">
        <f>SQRT(3)/2*R412-SQRT(3)/2*M412</f>
        <v>157.61662348876783</v>
      </c>
    </row>
    <row r="413" spans="1:27" s="49" customFormat="1" ht="16.899999999999999" customHeight="1" thickBot="1" x14ac:dyDescent="0.25">
      <c r="A413" s="84">
        <v>406</v>
      </c>
      <c r="B413" s="52" t="s">
        <v>35</v>
      </c>
      <c r="C413" s="41" t="s">
        <v>36</v>
      </c>
      <c r="D413" s="41" t="s">
        <v>37</v>
      </c>
      <c r="E413" s="41" t="s">
        <v>351</v>
      </c>
      <c r="F413" s="41" t="s">
        <v>356</v>
      </c>
      <c r="G413" s="42" t="s">
        <v>356</v>
      </c>
      <c r="H413" s="46" t="s">
        <v>23</v>
      </c>
      <c r="I413" s="63"/>
      <c r="J413" s="71"/>
      <c r="K413" s="66" t="s">
        <v>25</v>
      </c>
      <c r="L413" s="41">
        <v>3</v>
      </c>
      <c r="M413" s="47">
        <v>5</v>
      </c>
      <c r="N413" s="47">
        <v>300</v>
      </c>
      <c r="O413" s="43">
        <f t="shared" si="118"/>
        <v>6.6666666666666572</v>
      </c>
      <c r="P413" s="47">
        <v>144</v>
      </c>
      <c r="Q413" s="47">
        <v>142</v>
      </c>
      <c r="R413" s="47">
        <v>153</v>
      </c>
      <c r="S413" s="48">
        <f t="shared" ref="S413:S419" si="128">1.44*N413</f>
        <v>432</v>
      </c>
      <c r="T413" s="43">
        <f t="shared" ref="T413:T419" si="129">(R413+Q413+P413)/3</f>
        <v>146.33333333333334</v>
      </c>
      <c r="U413" s="44">
        <f t="shared" si="121"/>
        <v>34</v>
      </c>
      <c r="V413" s="45">
        <v>382</v>
      </c>
      <c r="W413" s="45">
        <v>4700</v>
      </c>
      <c r="X413" s="45" t="s">
        <v>41</v>
      </c>
      <c r="Y413" s="45" t="s">
        <v>42</v>
      </c>
      <c r="Z413" s="1"/>
      <c r="AA413" s="1"/>
    </row>
    <row r="414" spans="1:27" s="49" customFormat="1" ht="16.5" customHeight="1" thickBot="1" x14ac:dyDescent="0.25">
      <c r="A414" s="98">
        <v>407</v>
      </c>
      <c r="B414" s="102" t="s">
        <v>35</v>
      </c>
      <c r="C414" s="103" t="s">
        <v>36</v>
      </c>
      <c r="D414" s="103" t="s">
        <v>37</v>
      </c>
      <c r="E414" s="103" t="s">
        <v>351</v>
      </c>
      <c r="F414" s="103" t="s">
        <v>356</v>
      </c>
      <c r="G414" s="99" t="s">
        <v>359</v>
      </c>
      <c r="H414" s="115" t="s">
        <v>23</v>
      </c>
      <c r="I414" s="121"/>
      <c r="J414" s="122"/>
      <c r="K414" s="116" t="s">
        <v>25</v>
      </c>
      <c r="L414" s="103"/>
      <c r="M414" s="117">
        <v>1</v>
      </c>
      <c r="N414" s="117">
        <v>800</v>
      </c>
      <c r="O414" s="118">
        <f t="shared" si="118"/>
        <v>5.6666666666666856</v>
      </c>
      <c r="P414" s="117">
        <v>372</v>
      </c>
      <c r="Q414" s="117">
        <v>375</v>
      </c>
      <c r="R414" s="117">
        <v>382</v>
      </c>
      <c r="S414" s="120">
        <f t="shared" si="128"/>
        <v>1152</v>
      </c>
      <c r="T414" s="118">
        <f t="shared" si="129"/>
        <v>376.33333333333331</v>
      </c>
      <c r="U414" s="100">
        <f t="shared" si="121"/>
        <v>33</v>
      </c>
      <c r="V414" s="104">
        <v>382</v>
      </c>
      <c r="W414" s="104">
        <v>4700</v>
      </c>
      <c r="X414" s="104" t="s">
        <v>41</v>
      </c>
      <c r="Y414" s="104" t="s">
        <v>42</v>
      </c>
      <c r="Z414" s="1"/>
      <c r="AA414" s="1"/>
    </row>
    <row r="415" spans="1:27" s="49" customFormat="1" ht="16.5" customHeight="1" thickBot="1" x14ac:dyDescent="0.25">
      <c r="A415" s="98">
        <v>408</v>
      </c>
      <c r="B415" s="102" t="s">
        <v>35</v>
      </c>
      <c r="C415" s="103" t="s">
        <v>36</v>
      </c>
      <c r="D415" s="103" t="s">
        <v>37</v>
      </c>
      <c r="E415" s="103" t="s">
        <v>351</v>
      </c>
      <c r="F415" s="103" t="s">
        <v>356</v>
      </c>
      <c r="G415" s="99" t="s">
        <v>310</v>
      </c>
      <c r="H415" s="115" t="s">
        <v>23</v>
      </c>
      <c r="I415" s="121"/>
      <c r="J415" s="122"/>
      <c r="K415" s="116" t="s">
        <v>25</v>
      </c>
      <c r="L415" s="103">
        <v>3</v>
      </c>
      <c r="M415" s="117">
        <v>2</v>
      </c>
      <c r="N415" s="117">
        <v>500</v>
      </c>
      <c r="O415" s="118">
        <f t="shared" si="118"/>
        <v>6.3333333333333144</v>
      </c>
      <c r="P415" s="117">
        <v>265</v>
      </c>
      <c r="Q415" s="117">
        <v>272</v>
      </c>
      <c r="R415" s="117">
        <v>260</v>
      </c>
      <c r="S415" s="120">
        <f t="shared" si="128"/>
        <v>720</v>
      </c>
      <c r="T415" s="118">
        <f t="shared" si="129"/>
        <v>265.66666666666669</v>
      </c>
      <c r="U415" s="100">
        <f t="shared" si="121"/>
        <v>37</v>
      </c>
      <c r="V415" s="104">
        <v>381</v>
      </c>
      <c r="W415" s="104">
        <v>4700</v>
      </c>
      <c r="X415" s="104" t="s">
        <v>41</v>
      </c>
      <c r="Y415" s="104" t="s">
        <v>42</v>
      </c>
      <c r="Z415" s="1">
        <f>N415-0.5*R415-0.5*M415</f>
        <v>369</v>
      </c>
      <c r="AA415" s="1">
        <f>SQRT(3)/2*R415-SQRT(3)/2*M415</f>
        <v>223.43455417638518</v>
      </c>
    </row>
    <row r="416" spans="1:27" s="49" customFormat="1" ht="16.899999999999999" customHeight="1" thickBot="1" x14ac:dyDescent="0.25">
      <c r="A416" s="84">
        <v>409</v>
      </c>
      <c r="B416" s="52" t="s">
        <v>35</v>
      </c>
      <c r="C416" s="41" t="s">
        <v>36</v>
      </c>
      <c r="D416" s="41" t="s">
        <v>37</v>
      </c>
      <c r="E416" s="41" t="s">
        <v>351</v>
      </c>
      <c r="F416" s="41" t="s">
        <v>356</v>
      </c>
      <c r="G416" s="42" t="s">
        <v>360</v>
      </c>
      <c r="H416" s="46" t="s">
        <v>23</v>
      </c>
      <c r="I416" s="63"/>
      <c r="J416" s="71"/>
      <c r="K416" s="66" t="s">
        <v>25</v>
      </c>
      <c r="L416" s="41">
        <v>3</v>
      </c>
      <c r="M416" s="47">
        <v>1</v>
      </c>
      <c r="N416" s="47">
        <v>500</v>
      </c>
      <c r="O416" s="43">
        <f t="shared" si="118"/>
        <v>6.3333333333333428</v>
      </c>
      <c r="P416" s="47">
        <v>253</v>
      </c>
      <c r="Q416" s="47">
        <v>261</v>
      </c>
      <c r="R416" s="47">
        <v>250</v>
      </c>
      <c r="S416" s="48">
        <f t="shared" si="128"/>
        <v>720</v>
      </c>
      <c r="T416" s="43">
        <f t="shared" si="129"/>
        <v>254.66666666666666</v>
      </c>
      <c r="U416" s="44">
        <f t="shared" si="121"/>
        <v>35</v>
      </c>
      <c r="V416" s="45">
        <v>381</v>
      </c>
      <c r="W416" s="45">
        <v>4700</v>
      </c>
      <c r="X416" s="45" t="s">
        <v>41</v>
      </c>
      <c r="Y416" s="45" t="s">
        <v>42</v>
      </c>
      <c r="Z416" s="1">
        <f>N416-0.5*R416-0.5*M416</f>
        <v>374.5</v>
      </c>
      <c r="AA416" s="1">
        <f>SQRT(3)/2*R416-SQRT(3)/2*M416</f>
        <v>215.6403255423252</v>
      </c>
    </row>
    <row r="417" spans="1:27" s="49" customFormat="1" ht="16.5" customHeight="1" thickBot="1" x14ac:dyDescent="0.25">
      <c r="A417" s="84">
        <v>410</v>
      </c>
      <c r="B417" s="52" t="s">
        <v>35</v>
      </c>
      <c r="C417" s="41" t="s">
        <v>36</v>
      </c>
      <c r="D417" s="41" t="s">
        <v>37</v>
      </c>
      <c r="E417" s="41" t="s">
        <v>351</v>
      </c>
      <c r="F417" s="41" t="s">
        <v>356</v>
      </c>
      <c r="G417" s="42" t="s">
        <v>361</v>
      </c>
      <c r="H417" s="46" t="s">
        <v>23</v>
      </c>
      <c r="I417" s="63"/>
      <c r="J417" s="71"/>
      <c r="K417" s="66" t="s">
        <v>25</v>
      </c>
      <c r="L417" s="41">
        <v>3</v>
      </c>
      <c r="M417" s="47">
        <v>1</v>
      </c>
      <c r="N417" s="47">
        <v>500</v>
      </c>
      <c r="O417" s="43">
        <f t="shared" si="118"/>
        <v>5</v>
      </c>
      <c r="P417" s="47">
        <v>235</v>
      </c>
      <c r="Q417" s="47">
        <v>224</v>
      </c>
      <c r="R417" s="47">
        <v>231</v>
      </c>
      <c r="S417" s="48">
        <f t="shared" si="128"/>
        <v>720</v>
      </c>
      <c r="T417" s="43">
        <f t="shared" si="129"/>
        <v>230</v>
      </c>
      <c r="U417" s="44">
        <f t="shared" si="121"/>
        <v>32</v>
      </c>
      <c r="V417" s="45">
        <v>381</v>
      </c>
      <c r="W417" s="45">
        <v>4700</v>
      </c>
      <c r="X417" s="45" t="s">
        <v>41</v>
      </c>
      <c r="Y417" s="45" t="s">
        <v>42</v>
      </c>
      <c r="Z417" s="1">
        <f>N417-0.5*R417-0.5*M417</f>
        <v>384</v>
      </c>
      <c r="AA417" s="1">
        <f>SQRT(3)/2*R417-SQRT(3)/2*M417</f>
        <v>199.18584287042086</v>
      </c>
    </row>
    <row r="418" spans="1:27" s="49" customFormat="1" ht="16.5" customHeight="1" thickBot="1" x14ac:dyDescent="0.25">
      <c r="A418" s="84">
        <v>411</v>
      </c>
      <c r="B418" s="52" t="s">
        <v>35</v>
      </c>
      <c r="C418" s="41" t="s">
        <v>36</v>
      </c>
      <c r="D418" s="41" t="s">
        <v>37</v>
      </c>
      <c r="E418" s="41" t="s">
        <v>351</v>
      </c>
      <c r="F418" s="41" t="s">
        <v>362</v>
      </c>
      <c r="G418" s="42" t="s">
        <v>492</v>
      </c>
      <c r="H418" s="46" t="s">
        <v>26</v>
      </c>
      <c r="I418" s="62"/>
      <c r="J418" s="70"/>
      <c r="K418" s="66" t="s">
        <v>28</v>
      </c>
      <c r="L418" s="41">
        <v>3</v>
      </c>
      <c r="M418" s="47"/>
      <c r="N418" s="47">
        <v>300</v>
      </c>
      <c r="O418" s="43">
        <f t="shared" si="118"/>
        <v>8.6666666666666572</v>
      </c>
      <c r="P418" s="47">
        <v>204</v>
      </c>
      <c r="Q418" s="47">
        <v>187</v>
      </c>
      <c r="R418" s="47">
        <v>195</v>
      </c>
      <c r="S418" s="48">
        <f t="shared" si="128"/>
        <v>432</v>
      </c>
      <c r="T418" s="43">
        <f t="shared" si="129"/>
        <v>195.33333333333334</v>
      </c>
      <c r="U418" s="44">
        <f t="shared" si="121"/>
        <v>45</v>
      </c>
      <c r="V418" s="45">
        <v>381</v>
      </c>
      <c r="W418" s="45">
        <v>4700</v>
      </c>
      <c r="X418" s="45" t="s">
        <v>41</v>
      </c>
      <c r="Y418" s="45" t="s">
        <v>42</v>
      </c>
      <c r="Z418" s="1">
        <f>N418-0.5*R418-0.5*M418</f>
        <v>202.5</v>
      </c>
      <c r="AA418" s="1">
        <f>SQRT(3)/2*R418-SQRT(3)/2*M418</f>
        <v>168.87495373796551</v>
      </c>
    </row>
    <row r="419" spans="1:27" s="49" customFormat="1" ht="16.5" customHeight="1" thickBot="1" x14ac:dyDescent="0.25">
      <c r="A419" s="84">
        <v>412</v>
      </c>
      <c r="B419" s="52" t="s">
        <v>35</v>
      </c>
      <c r="C419" s="41" t="s">
        <v>36</v>
      </c>
      <c r="D419" s="41" t="s">
        <v>37</v>
      </c>
      <c r="E419" s="41" t="s">
        <v>351</v>
      </c>
      <c r="F419" s="41" t="s">
        <v>362</v>
      </c>
      <c r="G419" s="42" t="s">
        <v>493</v>
      </c>
      <c r="H419" s="46" t="s">
        <v>26</v>
      </c>
      <c r="I419" s="62"/>
      <c r="J419" s="70"/>
      <c r="K419" s="66" t="s">
        <v>28</v>
      </c>
      <c r="L419" s="41">
        <v>3</v>
      </c>
      <c r="M419" s="47"/>
      <c r="N419" s="47">
        <v>300</v>
      </c>
      <c r="O419" s="43">
        <f t="shared" si="118"/>
        <v>7.3333333333333428</v>
      </c>
      <c r="P419" s="47">
        <v>188</v>
      </c>
      <c r="Q419" s="47">
        <v>192</v>
      </c>
      <c r="R419" s="47">
        <v>201</v>
      </c>
      <c r="S419" s="48">
        <f t="shared" si="128"/>
        <v>432</v>
      </c>
      <c r="T419" s="43">
        <f t="shared" si="129"/>
        <v>193.66666666666666</v>
      </c>
      <c r="U419" s="44">
        <f t="shared" si="121"/>
        <v>45</v>
      </c>
      <c r="V419" s="45">
        <v>382</v>
      </c>
      <c r="W419" s="45">
        <v>4700</v>
      </c>
      <c r="X419" s="45" t="s">
        <v>41</v>
      </c>
      <c r="Y419" s="45" t="s">
        <v>42</v>
      </c>
      <c r="Z419" s="1">
        <f>N419-0.5*R419-0.5*M419</f>
        <v>199.5</v>
      </c>
      <c r="AA419" s="1">
        <f>SQRT(3)/2*R419-SQRT(3)/2*M419</f>
        <v>174.07110616067214</v>
      </c>
    </row>
    <row r="420" spans="1:27" s="49" customFormat="1" ht="16.5" customHeight="1" thickBot="1" x14ac:dyDescent="0.25">
      <c r="A420" s="84">
        <v>413</v>
      </c>
      <c r="B420" s="52" t="s">
        <v>35</v>
      </c>
      <c r="C420" s="41" t="s">
        <v>36</v>
      </c>
      <c r="D420" s="41" t="s">
        <v>37</v>
      </c>
      <c r="E420" s="41" t="s">
        <v>351</v>
      </c>
      <c r="F420" s="41" t="s">
        <v>362</v>
      </c>
      <c r="G420" s="42" t="s">
        <v>362</v>
      </c>
      <c r="H420" s="46" t="s">
        <v>23</v>
      </c>
      <c r="I420" s="63" t="s">
        <v>573</v>
      </c>
      <c r="J420" s="71">
        <v>2020</v>
      </c>
      <c r="K420" s="66" t="s">
        <v>25</v>
      </c>
      <c r="L420" s="41">
        <v>3</v>
      </c>
      <c r="M420" s="47">
        <v>4</v>
      </c>
      <c r="N420" s="47">
        <v>500</v>
      </c>
      <c r="O420" s="43">
        <f t="shared" si="118"/>
        <v>6.3333333333333144</v>
      </c>
      <c r="P420" s="47">
        <v>341</v>
      </c>
      <c r="Q420" s="47">
        <v>346</v>
      </c>
      <c r="R420" s="47">
        <v>353</v>
      </c>
      <c r="S420" s="48">
        <f t="shared" ref="S420:S423" si="130">1.44*N420</f>
        <v>720</v>
      </c>
      <c r="T420" s="43">
        <f t="shared" ref="T420:T423" si="131">(R420+Q420+P420)/3</f>
        <v>346.66666666666669</v>
      </c>
      <c r="U420" s="44">
        <f t="shared" si="121"/>
        <v>48</v>
      </c>
      <c r="V420" s="45">
        <v>381</v>
      </c>
      <c r="W420" s="45">
        <v>4700</v>
      </c>
      <c r="X420" s="45" t="s">
        <v>41</v>
      </c>
      <c r="Y420" s="45" t="s">
        <v>42</v>
      </c>
      <c r="Z420" s="1"/>
      <c r="AA420" s="1"/>
    </row>
    <row r="421" spans="1:27" s="49" customFormat="1" ht="16.5" customHeight="1" thickBot="1" x14ac:dyDescent="0.25">
      <c r="A421" s="84">
        <v>414</v>
      </c>
      <c r="B421" s="52" t="s">
        <v>35</v>
      </c>
      <c r="C421" s="41" t="s">
        <v>36</v>
      </c>
      <c r="D421" s="41" t="s">
        <v>37</v>
      </c>
      <c r="E421" s="41" t="s">
        <v>351</v>
      </c>
      <c r="F421" s="41" t="s">
        <v>362</v>
      </c>
      <c r="G421" s="42" t="s">
        <v>363</v>
      </c>
      <c r="H421" s="46" t="s">
        <v>23</v>
      </c>
      <c r="I421" s="63" t="s">
        <v>573</v>
      </c>
      <c r="J421" s="71">
        <v>2018</v>
      </c>
      <c r="K421" s="66" t="s">
        <v>25</v>
      </c>
      <c r="L421" s="41">
        <v>3</v>
      </c>
      <c r="M421" s="47">
        <v>4</v>
      </c>
      <c r="N421" s="47">
        <v>500</v>
      </c>
      <c r="O421" s="43">
        <f t="shared" si="118"/>
        <v>7.6666666666666572</v>
      </c>
      <c r="P421" s="47">
        <v>246</v>
      </c>
      <c r="Q421" s="47">
        <v>255</v>
      </c>
      <c r="R421" s="47">
        <v>241</v>
      </c>
      <c r="S421" s="48">
        <f t="shared" si="130"/>
        <v>720</v>
      </c>
      <c r="T421" s="43">
        <f t="shared" si="131"/>
        <v>247.33333333333334</v>
      </c>
      <c r="U421" s="44">
        <f t="shared" si="121"/>
        <v>34</v>
      </c>
      <c r="V421" s="45">
        <v>381</v>
      </c>
      <c r="W421" s="45">
        <v>4700</v>
      </c>
      <c r="X421" s="45" t="s">
        <v>41</v>
      </c>
      <c r="Y421" s="45" t="s">
        <v>42</v>
      </c>
      <c r="Z421" s="1">
        <f>N421-0.5*R421-0.5*M421</f>
        <v>377.5</v>
      </c>
      <c r="AA421" s="1">
        <f>SQRT(3)/2*R421-SQRT(3)/2*M421</f>
        <v>205.24802069691194</v>
      </c>
    </row>
    <row r="422" spans="1:27" s="49" customFormat="1" ht="16.5" customHeight="1" thickBot="1" x14ac:dyDescent="0.25">
      <c r="A422" s="84">
        <v>415</v>
      </c>
      <c r="B422" s="52" t="s">
        <v>35</v>
      </c>
      <c r="C422" s="41" t="s">
        <v>36</v>
      </c>
      <c r="D422" s="41" t="s">
        <v>37</v>
      </c>
      <c r="E422" s="41" t="s">
        <v>351</v>
      </c>
      <c r="F422" s="41" t="s">
        <v>362</v>
      </c>
      <c r="G422" s="42" t="s">
        <v>494</v>
      </c>
      <c r="H422" s="46" t="s">
        <v>26</v>
      </c>
      <c r="I422" s="62" t="s">
        <v>573</v>
      </c>
      <c r="J422" s="70">
        <v>1984</v>
      </c>
      <c r="K422" s="66" t="s">
        <v>28</v>
      </c>
      <c r="L422" s="41">
        <v>3</v>
      </c>
      <c r="M422" s="47"/>
      <c r="N422" s="47">
        <v>500</v>
      </c>
      <c r="O422" s="43">
        <f t="shared" si="118"/>
        <v>6</v>
      </c>
      <c r="P422" s="47">
        <v>308</v>
      </c>
      <c r="Q422" s="47">
        <v>311</v>
      </c>
      <c r="R422" s="47">
        <v>296</v>
      </c>
      <c r="S422" s="48">
        <f t="shared" si="130"/>
        <v>720</v>
      </c>
      <c r="T422" s="43">
        <f t="shared" si="131"/>
        <v>305</v>
      </c>
      <c r="U422" s="44">
        <f t="shared" si="121"/>
        <v>42</v>
      </c>
      <c r="V422" s="45">
        <v>381</v>
      </c>
      <c r="W422" s="45">
        <v>4700</v>
      </c>
      <c r="X422" s="45" t="s">
        <v>41</v>
      </c>
      <c r="Y422" s="45" t="s">
        <v>42</v>
      </c>
      <c r="Z422" s="1"/>
      <c r="AA422" s="1"/>
    </row>
    <row r="423" spans="1:27" s="49" customFormat="1" ht="16.5" customHeight="1" thickBot="1" x14ac:dyDescent="0.25">
      <c r="A423" s="84">
        <v>416</v>
      </c>
      <c r="B423" s="52" t="s">
        <v>35</v>
      </c>
      <c r="C423" s="41" t="s">
        <v>36</v>
      </c>
      <c r="D423" s="41" t="s">
        <v>37</v>
      </c>
      <c r="E423" s="41" t="s">
        <v>351</v>
      </c>
      <c r="F423" s="41" t="s">
        <v>362</v>
      </c>
      <c r="G423" s="42" t="s">
        <v>495</v>
      </c>
      <c r="H423" s="46" t="s">
        <v>26</v>
      </c>
      <c r="I423" s="62"/>
      <c r="J423" s="70"/>
      <c r="K423" s="66" t="s">
        <v>28</v>
      </c>
      <c r="L423" s="41">
        <v>3</v>
      </c>
      <c r="M423" s="47"/>
      <c r="N423" s="47">
        <v>500</v>
      </c>
      <c r="O423" s="43">
        <f t="shared" si="118"/>
        <v>9</v>
      </c>
      <c r="P423" s="47">
        <v>298</v>
      </c>
      <c r="Q423" s="47">
        <v>315</v>
      </c>
      <c r="R423" s="47">
        <v>305</v>
      </c>
      <c r="S423" s="48">
        <f t="shared" si="130"/>
        <v>720</v>
      </c>
      <c r="T423" s="43">
        <f t="shared" si="131"/>
        <v>306</v>
      </c>
      <c r="U423" s="44">
        <f t="shared" si="121"/>
        <v>43</v>
      </c>
      <c r="V423" s="45">
        <v>381</v>
      </c>
      <c r="W423" s="45">
        <v>4700</v>
      </c>
      <c r="X423" s="45" t="s">
        <v>41</v>
      </c>
      <c r="Y423" s="45" t="s">
        <v>42</v>
      </c>
      <c r="Z423" s="1"/>
      <c r="AA423" s="1"/>
    </row>
    <row r="424" spans="1:27" s="49" customFormat="1" ht="16.5" customHeight="1" thickBot="1" x14ac:dyDescent="0.25">
      <c r="A424" s="84">
        <v>417</v>
      </c>
      <c r="B424" s="52" t="s">
        <v>35</v>
      </c>
      <c r="C424" s="41" t="s">
        <v>36</v>
      </c>
      <c r="D424" s="41" t="s">
        <v>37</v>
      </c>
      <c r="E424" s="41" t="s">
        <v>351</v>
      </c>
      <c r="F424" s="41" t="s">
        <v>362</v>
      </c>
      <c r="G424" s="42" t="s">
        <v>367</v>
      </c>
      <c r="H424" s="46" t="s">
        <v>23</v>
      </c>
      <c r="I424" s="63"/>
      <c r="J424" s="71"/>
      <c r="K424" s="66" t="s">
        <v>25</v>
      </c>
      <c r="L424" s="41">
        <v>3</v>
      </c>
      <c r="M424" s="47">
        <v>2</v>
      </c>
      <c r="N424" s="47">
        <v>500</v>
      </c>
      <c r="O424" s="43">
        <f t="shared" si="118"/>
        <v>5.6666666666666856</v>
      </c>
      <c r="P424" s="47">
        <v>297</v>
      </c>
      <c r="Q424" s="47">
        <v>291</v>
      </c>
      <c r="R424" s="47">
        <v>286</v>
      </c>
      <c r="S424" s="48">
        <f>1.44*N424</f>
        <v>720</v>
      </c>
      <c r="T424" s="43">
        <f>(R424+Q424+P424)/3</f>
        <v>291.33333333333331</v>
      </c>
      <c r="U424" s="44">
        <f t="shared" si="121"/>
        <v>40</v>
      </c>
      <c r="V424" s="45">
        <v>382</v>
      </c>
      <c r="W424" s="45">
        <v>4700</v>
      </c>
      <c r="X424" s="45" t="s">
        <v>41</v>
      </c>
      <c r="Y424" s="45" t="s">
        <v>42</v>
      </c>
      <c r="Z424" s="1"/>
      <c r="AA424" s="1"/>
    </row>
    <row r="425" spans="1:27" s="49" customFormat="1" ht="16.5" customHeight="1" thickBot="1" x14ac:dyDescent="0.25">
      <c r="A425" s="84">
        <v>418</v>
      </c>
      <c r="B425" s="52" t="s">
        <v>35</v>
      </c>
      <c r="C425" s="41" t="s">
        <v>36</v>
      </c>
      <c r="D425" s="41" t="s">
        <v>37</v>
      </c>
      <c r="E425" s="41" t="s">
        <v>351</v>
      </c>
      <c r="F425" s="41" t="s">
        <v>362</v>
      </c>
      <c r="G425" s="42" t="s">
        <v>562</v>
      </c>
      <c r="H425" s="46" t="s">
        <v>26</v>
      </c>
      <c r="I425" s="63"/>
      <c r="J425" s="71"/>
      <c r="K425" s="66" t="s">
        <v>25</v>
      </c>
      <c r="L425" s="41">
        <v>3</v>
      </c>
      <c r="M425" s="47"/>
      <c r="N425" s="47">
        <v>500</v>
      </c>
      <c r="O425" s="43">
        <f t="shared" si="118"/>
        <v>7</v>
      </c>
      <c r="P425" s="47">
        <v>299</v>
      </c>
      <c r="Q425" s="47">
        <v>312</v>
      </c>
      <c r="R425" s="47">
        <v>304</v>
      </c>
      <c r="S425" s="48">
        <f>1.44*N425</f>
        <v>720</v>
      </c>
      <c r="T425" s="43">
        <f>(R425+Q425+P425)/3</f>
        <v>305</v>
      </c>
      <c r="U425" s="44">
        <f t="shared" si="121"/>
        <v>42</v>
      </c>
      <c r="V425" s="45">
        <v>382</v>
      </c>
      <c r="W425" s="45">
        <v>4700</v>
      </c>
      <c r="X425" s="45" t="s">
        <v>41</v>
      </c>
      <c r="Y425" s="45" t="s">
        <v>42</v>
      </c>
      <c r="Z425" s="1"/>
      <c r="AA425" s="1"/>
    </row>
    <row r="426" spans="1:27" s="49" customFormat="1" ht="16.5" customHeight="1" thickBot="1" x14ac:dyDescent="0.25">
      <c r="A426" s="84">
        <v>419</v>
      </c>
      <c r="B426" s="52" t="s">
        <v>35</v>
      </c>
      <c r="C426" s="41" t="s">
        <v>36</v>
      </c>
      <c r="D426" s="41" t="s">
        <v>37</v>
      </c>
      <c r="E426" s="41" t="s">
        <v>351</v>
      </c>
      <c r="F426" s="41" t="s">
        <v>362</v>
      </c>
      <c r="G426" s="42" t="s">
        <v>364</v>
      </c>
      <c r="H426" s="46" t="s">
        <v>23</v>
      </c>
      <c r="I426" s="63"/>
      <c r="J426" s="71"/>
      <c r="K426" s="66" t="s">
        <v>25</v>
      </c>
      <c r="L426" s="41">
        <v>3</v>
      </c>
      <c r="M426" s="47">
        <v>4</v>
      </c>
      <c r="N426" s="47">
        <v>500</v>
      </c>
      <c r="O426" s="43">
        <f t="shared" si="118"/>
        <v>6.3333333333333144</v>
      </c>
      <c r="P426" s="47">
        <v>295</v>
      </c>
      <c r="Q426" s="47">
        <v>292</v>
      </c>
      <c r="R426" s="47">
        <v>279</v>
      </c>
      <c r="S426" s="48">
        <f t="shared" ref="S426:S428" si="132">1.44*N426</f>
        <v>720</v>
      </c>
      <c r="T426" s="43">
        <f t="shared" ref="T426:T428" si="133">(R426+Q426+P426)/3</f>
        <v>288.66666666666669</v>
      </c>
      <c r="U426" s="44">
        <f t="shared" si="121"/>
        <v>40</v>
      </c>
      <c r="V426" s="45">
        <v>381</v>
      </c>
      <c r="W426" s="45">
        <v>4700</v>
      </c>
      <c r="X426" s="45" t="s">
        <v>41</v>
      </c>
      <c r="Y426" s="45" t="s">
        <v>42</v>
      </c>
      <c r="Z426" s="1">
        <f>N426-0.5*R426-0.5*M426</f>
        <v>358.5</v>
      </c>
      <c r="AA426" s="1">
        <f>SQRT(3)/2*R426-SQRT(3)/2*M426</f>
        <v>238.1569860407206</v>
      </c>
    </row>
    <row r="427" spans="1:27" s="49" customFormat="1" ht="16.5" customHeight="1" thickBot="1" x14ac:dyDescent="0.25">
      <c r="A427" s="84">
        <v>420</v>
      </c>
      <c r="B427" s="52" t="s">
        <v>35</v>
      </c>
      <c r="C427" s="41" t="s">
        <v>36</v>
      </c>
      <c r="D427" s="41" t="s">
        <v>37</v>
      </c>
      <c r="E427" s="41" t="s">
        <v>351</v>
      </c>
      <c r="F427" s="41" t="s">
        <v>368</v>
      </c>
      <c r="G427" s="42" t="s">
        <v>369</v>
      </c>
      <c r="H427" s="46" t="s">
        <v>23</v>
      </c>
      <c r="I427" s="63"/>
      <c r="J427" s="71"/>
      <c r="K427" s="66" t="s">
        <v>25</v>
      </c>
      <c r="L427" s="41">
        <v>3</v>
      </c>
      <c r="M427" s="47">
        <v>3</v>
      </c>
      <c r="N427" s="47">
        <v>500</v>
      </c>
      <c r="O427" s="43">
        <f t="shared" si="118"/>
        <v>5.6666666666666856</v>
      </c>
      <c r="P427" s="47">
        <v>319</v>
      </c>
      <c r="Q427" s="47">
        <v>315</v>
      </c>
      <c r="R427" s="47">
        <v>306</v>
      </c>
      <c r="S427" s="48">
        <f t="shared" si="132"/>
        <v>720</v>
      </c>
      <c r="T427" s="43">
        <f t="shared" si="133"/>
        <v>313.33333333333331</v>
      </c>
      <c r="U427" s="44">
        <f t="shared" si="121"/>
        <v>44</v>
      </c>
      <c r="V427" s="45">
        <v>380</v>
      </c>
      <c r="W427" s="45">
        <v>4700</v>
      </c>
      <c r="X427" s="45" t="s">
        <v>41</v>
      </c>
      <c r="Y427" s="45" t="s">
        <v>42</v>
      </c>
      <c r="Z427" s="1">
        <f>N427-0.5*R427-0.5*M427</f>
        <v>345.5</v>
      </c>
      <c r="AA427" s="1">
        <f>SQRT(3)/2*R427-SQRT(3)/2*M427</f>
        <v>262.40569734668492</v>
      </c>
    </row>
    <row r="428" spans="1:27" s="49" customFormat="1" ht="16.5" customHeight="1" thickBot="1" x14ac:dyDescent="0.25">
      <c r="A428" s="84">
        <v>421</v>
      </c>
      <c r="B428" s="52" t="s">
        <v>35</v>
      </c>
      <c r="C428" s="41" t="s">
        <v>36</v>
      </c>
      <c r="D428" s="41" t="s">
        <v>37</v>
      </c>
      <c r="E428" s="41" t="s">
        <v>351</v>
      </c>
      <c r="F428" s="41" t="s">
        <v>368</v>
      </c>
      <c r="G428" s="42" t="s">
        <v>497</v>
      </c>
      <c r="H428" s="46" t="s">
        <v>26</v>
      </c>
      <c r="I428" s="62"/>
      <c r="J428" s="70"/>
      <c r="K428" s="66" t="s">
        <v>28</v>
      </c>
      <c r="L428" s="41">
        <v>3</v>
      </c>
      <c r="M428" s="47"/>
      <c r="N428" s="47">
        <v>200</v>
      </c>
      <c r="O428" s="43">
        <f t="shared" si="118"/>
        <v>4.3333333333333428</v>
      </c>
      <c r="P428" s="47">
        <v>135</v>
      </c>
      <c r="Q428" s="47">
        <v>130</v>
      </c>
      <c r="R428" s="47">
        <v>127</v>
      </c>
      <c r="S428" s="48">
        <f t="shared" si="132"/>
        <v>288</v>
      </c>
      <c r="T428" s="43">
        <f t="shared" si="133"/>
        <v>130.66666666666666</v>
      </c>
      <c r="U428" s="44">
        <f t="shared" si="121"/>
        <v>45</v>
      </c>
      <c r="V428" s="45">
        <v>380</v>
      </c>
      <c r="W428" s="45">
        <v>4700</v>
      </c>
      <c r="X428" s="45" t="s">
        <v>41</v>
      </c>
      <c r="Y428" s="45" t="s">
        <v>42</v>
      </c>
      <c r="Z428" s="1"/>
      <c r="AA428" s="1"/>
    </row>
    <row r="429" spans="1:27" s="49" customFormat="1" ht="16.5" customHeight="1" thickBot="1" x14ac:dyDescent="0.25">
      <c r="A429" s="84">
        <v>422</v>
      </c>
      <c r="B429" s="52" t="s">
        <v>35</v>
      </c>
      <c r="C429" s="41" t="s">
        <v>36</v>
      </c>
      <c r="D429" s="41" t="s">
        <v>37</v>
      </c>
      <c r="E429" s="41" t="s">
        <v>351</v>
      </c>
      <c r="F429" s="41" t="s">
        <v>368</v>
      </c>
      <c r="G429" s="42" t="s">
        <v>370</v>
      </c>
      <c r="H429" s="46" t="s">
        <v>23</v>
      </c>
      <c r="I429" s="63"/>
      <c r="J429" s="71"/>
      <c r="K429" s="66" t="s">
        <v>25</v>
      </c>
      <c r="L429" s="41">
        <v>3</v>
      </c>
      <c r="M429" s="47">
        <v>4</v>
      </c>
      <c r="N429" s="47">
        <v>500</v>
      </c>
      <c r="O429" s="43">
        <f t="shared" si="118"/>
        <v>7.3333333333333144</v>
      </c>
      <c r="P429" s="47">
        <v>482</v>
      </c>
      <c r="Q429" s="47">
        <v>475</v>
      </c>
      <c r="R429" s="47">
        <v>467</v>
      </c>
      <c r="S429" s="48">
        <f t="shared" ref="S429:S443" si="134">1.44*N429</f>
        <v>720</v>
      </c>
      <c r="T429" s="43">
        <f t="shared" ref="T429:T443" si="135">(R429+Q429+P429)/3</f>
        <v>474.66666666666669</v>
      </c>
      <c r="U429" s="44">
        <f t="shared" si="121"/>
        <v>66</v>
      </c>
      <c r="V429" s="45">
        <v>381</v>
      </c>
      <c r="W429" s="45">
        <v>4700</v>
      </c>
      <c r="X429" s="45" t="s">
        <v>41</v>
      </c>
      <c r="Y429" s="45" t="s">
        <v>42</v>
      </c>
      <c r="Z429" s="1"/>
      <c r="AA429" s="1"/>
    </row>
    <row r="430" spans="1:27" s="49" customFormat="1" ht="16.5" customHeight="1" thickBot="1" x14ac:dyDescent="0.25">
      <c r="A430" s="98">
        <v>423</v>
      </c>
      <c r="B430" s="102" t="s">
        <v>35</v>
      </c>
      <c r="C430" s="103" t="s">
        <v>36</v>
      </c>
      <c r="D430" s="103" t="s">
        <v>37</v>
      </c>
      <c r="E430" s="103" t="s">
        <v>351</v>
      </c>
      <c r="F430" s="103" t="s">
        <v>368</v>
      </c>
      <c r="G430" s="99" t="s">
        <v>365</v>
      </c>
      <c r="H430" s="115" t="s">
        <v>23</v>
      </c>
      <c r="I430" s="128" t="s">
        <v>593</v>
      </c>
      <c r="J430" s="122">
        <v>2010</v>
      </c>
      <c r="K430" s="116" t="s">
        <v>25</v>
      </c>
      <c r="L430" s="103">
        <v>3</v>
      </c>
      <c r="M430" s="117">
        <v>3</v>
      </c>
      <c r="N430" s="117">
        <v>800</v>
      </c>
      <c r="O430" s="118">
        <f t="shared" si="118"/>
        <v>7.3333333333333712</v>
      </c>
      <c r="P430" s="117">
        <v>567</v>
      </c>
      <c r="Q430" s="117">
        <v>563</v>
      </c>
      <c r="R430" s="117">
        <v>576</v>
      </c>
      <c r="S430" s="120">
        <f t="shared" si="134"/>
        <v>1152</v>
      </c>
      <c r="T430" s="118">
        <f t="shared" si="135"/>
        <v>568.66666666666663</v>
      </c>
      <c r="U430" s="100">
        <f t="shared" si="121"/>
        <v>49</v>
      </c>
      <c r="V430" s="104">
        <v>382</v>
      </c>
      <c r="W430" s="104">
        <v>4700</v>
      </c>
      <c r="X430" s="104" t="s">
        <v>41</v>
      </c>
      <c r="Y430" s="104" t="s">
        <v>42</v>
      </c>
      <c r="Z430" s="1">
        <f>N430-0.5*R430-0.5*M430</f>
        <v>510.5</v>
      </c>
      <c r="AA430" s="1">
        <f>SQRT(3)/2*R430-SQRT(3)/2*M430</f>
        <v>496.2325563684833</v>
      </c>
    </row>
    <row r="431" spans="1:27" s="49" customFormat="1" ht="16.5" customHeight="1" thickBot="1" x14ac:dyDescent="0.25">
      <c r="A431" s="84">
        <v>424</v>
      </c>
      <c r="B431" s="52" t="s">
        <v>35</v>
      </c>
      <c r="C431" s="41" t="s">
        <v>36</v>
      </c>
      <c r="D431" s="41" t="s">
        <v>37</v>
      </c>
      <c r="E431" s="41" t="s">
        <v>351</v>
      </c>
      <c r="F431" s="41" t="s">
        <v>368</v>
      </c>
      <c r="G431" s="42" t="s">
        <v>366</v>
      </c>
      <c r="H431" s="46" t="s">
        <v>23</v>
      </c>
      <c r="I431" s="63"/>
      <c r="J431" s="71"/>
      <c r="K431" s="66" t="s">
        <v>25</v>
      </c>
      <c r="L431" s="41">
        <v>3</v>
      </c>
      <c r="M431" s="47">
        <v>2</v>
      </c>
      <c r="N431" s="47">
        <v>500</v>
      </c>
      <c r="O431" s="43">
        <f t="shared" si="118"/>
        <v>4.6666666666666856</v>
      </c>
      <c r="P431" s="47">
        <v>503</v>
      </c>
      <c r="Q431" s="47">
        <v>499</v>
      </c>
      <c r="R431" s="47">
        <v>493</v>
      </c>
      <c r="S431" s="48">
        <f t="shared" si="134"/>
        <v>720</v>
      </c>
      <c r="T431" s="43">
        <f t="shared" si="135"/>
        <v>498.33333333333331</v>
      </c>
      <c r="U431" s="44">
        <f t="shared" si="121"/>
        <v>69</v>
      </c>
      <c r="V431" s="45">
        <v>381</v>
      </c>
      <c r="W431" s="45">
        <v>4700</v>
      </c>
      <c r="X431" s="45" t="s">
        <v>41</v>
      </c>
      <c r="Y431" s="45" t="s">
        <v>42</v>
      </c>
      <c r="Z431" s="1"/>
      <c r="AA431" s="1"/>
    </row>
    <row r="432" spans="1:27" s="49" customFormat="1" ht="16.5" customHeight="1" thickBot="1" x14ac:dyDescent="0.25">
      <c r="A432" s="84">
        <v>425</v>
      </c>
      <c r="B432" s="52" t="s">
        <v>35</v>
      </c>
      <c r="C432" s="41" t="s">
        <v>36</v>
      </c>
      <c r="D432" s="41" t="s">
        <v>37</v>
      </c>
      <c r="E432" s="41" t="s">
        <v>351</v>
      </c>
      <c r="F432" s="41" t="s">
        <v>368</v>
      </c>
      <c r="G432" s="42" t="s">
        <v>496</v>
      </c>
      <c r="H432" s="46" t="s">
        <v>26</v>
      </c>
      <c r="I432" s="62"/>
      <c r="J432" s="70"/>
      <c r="K432" s="66" t="s">
        <v>28</v>
      </c>
      <c r="L432" s="41">
        <v>3</v>
      </c>
      <c r="M432" s="47"/>
      <c r="N432" s="47">
        <v>300</v>
      </c>
      <c r="O432" s="43">
        <f t="shared" si="118"/>
        <v>3.6666666666666572</v>
      </c>
      <c r="P432" s="47">
        <v>182</v>
      </c>
      <c r="Q432" s="47">
        <v>175</v>
      </c>
      <c r="R432" s="47">
        <v>184</v>
      </c>
      <c r="S432" s="48">
        <f t="shared" si="134"/>
        <v>432</v>
      </c>
      <c r="T432" s="43">
        <f t="shared" si="135"/>
        <v>180.33333333333334</v>
      </c>
      <c r="U432" s="44">
        <f t="shared" si="121"/>
        <v>42</v>
      </c>
      <c r="V432" s="45">
        <v>381</v>
      </c>
      <c r="W432" s="45">
        <v>4700</v>
      </c>
      <c r="X432" s="45" t="s">
        <v>41</v>
      </c>
      <c r="Y432" s="45" t="s">
        <v>42</v>
      </c>
      <c r="Z432" s="1"/>
      <c r="AA432" s="1"/>
    </row>
    <row r="433" spans="1:27" s="49" customFormat="1" ht="16.5" customHeight="1" thickBot="1" x14ac:dyDescent="0.25">
      <c r="A433" s="84">
        <v>426</v>
      </c>
      <c r="B433" s="52" t="s">
        <v>35</v>
      </c>
      <c r="C433" s="41" t="s">
        <v>36</v>
      </c>
      <c r="D433" s="41" t="s">
        <v>37</v>
      </c>
      <c r="E433" s="41" t="s">
        <v>351</v>
      </c>
      <c r="F433" s="41" t="s">
        <v>498</v>
      </c>
      <c r="G433" s="42" t="s">
        <v>499</v>
      </c>
      <c r="H433" s="46" t="s">
        <v>26</v>
      </c>
      <c r="I433" s="63"/>
      <c r="J433" s="71"/>
      <c r="K433" s="66" t="s">
        <v>25</v>
      </c>
      <c r="L433" s="41">
        <v>3</v>
      </c>
      <c r="M433" s="47"/>
      <c r="N433" s="47">
        <v>250</v>
      </c>
      <c r="O433" s="43">
        <f t="shared" si="118"/>
        <v>8.6666666666666572</v>
      </c>
      <c r="P433" s="47">
        <v>149</v>
      </c>
      <c r="Q433" s="47">
        <v>166</v>
      </c>
      <c r="R433" s="47">
        <v>157</v>
      </c>
      <c r="S433" s="48">
        <f t="shared" si="134"/>
        <v>360</v>
      </c>
      <c r="T433" s="43">
        <f t="shared" si="135"/>
        <v>157.33333333333334</v>
      </c>
      <c r="U433" s="44">
        <f t="shared" si="121"/>
        <v>44</v>
      </c>
      <c r="V433" s="45">
        <v>381</v>
      </c>
      <c r="W433" s="45">
        <v>4700</v>
      </c>
      <c r="X433" s="45" t="s">
        <v>41</v>
      </c>
      <c r="Y433" s="45" t="s">
        <v>42</v>
      </c>
      <c r="Z433" s="1">
        <f t="shared" ref="Z433:Z443" si="136">N433-0.5*R433-0.5*M433</f>
        <v>171.5</v>
      </c>
      <c r="AA433" s="1">
        <f>SQRT(3)/2*R433-SQRT(3)/2*M433</f>
        <v>135.96598839415685</v>
      </c>
    </row>
    <row r="434" spans="1:27" s="49" customFormat="1" ht="16.5" customHeight="1" thickBot="1" x14ac:dyDescent="0.25">
      <c r="A434" s="84">
        <v>427</v>
      </c>
      <c r="B434" s="52" t="s">
        <v>35</v>
      </c>
      <c r="C434" s="41" t="s">
        <v>36</v>
      </c>
      <c r="D434" s="41" t="s">
        <v>37</v>
      </c>
      <c r="E434" s="41" t="s">
        <v>351</v>
      </c>
      <c r="F434" s="41" t="s">
        <v>498</v>
      </c>
      <c r="G434" s="42" t="s">
        <v>500</v>
      </c>
      <c r="H434" s="46" t="s">
        <v>26</v>
      </c>
      <c r="I434" s="63"/>
      <c r="J434" s="71"/>
      <c r="K434" s="66" t="s">
        <v>25</v>
      </c>
      <c r="L434" s="41">
        <v>3</v>
      </c>
      <c r="M434" s="47"/>
      <c r="N434" s="47">
        <v>250</v>
      </c>
      <c r="O434" s="43">
        <f t="shared" si="118"/>
        <v>5</v>
      </c>
      <c r="P434" s="47">
        <v>155</v>
      </c>
      <c r="Q434" s="47">
        <v>152</v>
      </c>
      <c r="R434" s="47">
        <v>161</v>
      </c>
      <c r="S434" s="48">
        <f t="shared" si="134"/>
        <v>360</v>
      </c>
      <c r="T434" s="43">
        <f t="shared" si="135"/>
        <v>156</v>
      </c>
      <c r="U434" s="44">
        <f t="shared" si="121"/>
        <v>43</v>
      </c>
      <c r="V434" s="45">
        <v>381</v>
      </c>
      <c r="W434" s="45">
        <v>4700</v>
      </c>
      <c r="X434" s="45" t="s">
        <v>41</v>
      </c>
      <c r="Y434" s="45" t="s">
        <v>42</v>
      </c>
      <c r="Z434" s="1">
        <f t="shared" si="136"/>
        <v>169.5</v>
      </c>
      <c r="AA434" s="1">
        <f>SQRT(3)/2*R434-SQRT(3)/2*M434</f>
        <v>139.43009000929462</v>
      </c>
    </row>
    <row r="435" spans="1:27" s="49" customFormat="1" ht="16.5" customHeight="1" thickBot="1" x14ac:dyDescent="0.25">
      <c r="A435" s="84">
        <v>428</v>
      </c>
      <c r="B435" s="52" t="s">
        <v>35</v>
      </c>
      <c r="C435" s="41" t="s">
        <v>36</v>
      </c>
      <c r="D435" s="41" t="s">
        <v>37</v>
      </c>
      <c r="E435" s="41" t="s">
        <v>351</v>
      </c>
      <c r="F435" s="41" t="s">
        <v>498</v>
      </c>
      <c r="G435" s="42" t="s">
        <v>551</v>
      </c>
      <c r="H435" s="46" t="s">
        <v>26</v>
      </c>
      <c r="I435" s="63"/>
      <c r="J435" s="71"/>
      <c r="K435" s="66" t="s">
        <v>28</v>
      </c>
      <c r="L435" s="41">
        <v>3</v>
      </c>
      <c r="M435" s="47"/>
      <c r="N435" s="47">
        <v>500</v>
      </c>
      <c r="O435" s="43">
        <f t="shared" si="118"/>
        <v>8.6666666666666856</v>
      </c>
      <c r="P435" s="47">
        <v>288</v>
      </c>
      <c r="Q435" s="47">
        <v>305</v>
      </c>
      <c r="R435" s="47">
        <v>296</v>
      </c>
      <c r="S435" s="48">
        <f t="shared" si="134"/>
        <v>720</v>
      </c>
      <c r="T435" s="43">
        <f t="shared" si="135"/>
        <v>296.33333333333331</v>
      </c>
      <c r="U435" s="44">
        <f t="shared" si="121"/>
        <v>41</v>
      </c>
      <c r="V435" s="45">
        <v>381</v>
      </c>
      <c r="W435" s="45">
        <v>4700</v>
      </c>
      <c r="X435" s="45" t="s">
        <v>41</v>
      </c>
      <c r="Y435" s="45" t="s">
        <v>42</v>
      </c>
      <c r="Z435" s="1">
        <f t="shared" si="136"/>
        <v>352</v>
      </c>
      <c r="AA435" s="1"/>
    </row>
    <row r="436" spans="1:27" s="49" customFormat="1" ht="16.5" customHeight="1" thickBot="1" x14ac:dyDescent="0.25">
      <c r="A436" s="84">
        <v>429</v>
      </c>
      <c r="B436" s="52" t="s">
        <v>35</v>
      </c>
      <c r="C436" s="41" t="s">
        <v>36</v>
      </c>
      <c r="D436" s="41" t="s">
        <v>37</v>
      </c>
      <c r="E436" s="41" t="s">
        <v>351</v>
      </c>
      <c r="F436" s="41" t="s">
        <v>498</v>
      </c>
      <c r="G436" s="42" t="s">
        <v>552</v>
      </c>
      <c r="H436" s="46" t="s">
        <v>26</v>
      </c>
      <c r="I436" s="63"/>
      <c r="J436" s="71"/>
      <c r="K436" s="66" t="s">
        <v>28</v>
      </c>
      <c r="L436" s="41">
        <v>3</v>
      </c>
      <c r="M436" s="47"/>
      <c r="N436" s="47">
        <v>500</v>
      </c>
      <c r="O436" s="43">
        <f t="shared" si="118"/>
        <v>6.3333333333333144</v>
      </c>
      <c r="P436" s="47">
        <v>296</v>
      </c>
      <c r="Q436" s="47">
        <v>307</v>
      </c>
      <c r="R436" s="47">
        <v>311</v>
      </c>
      <c r="S436" s="48">
        <f t="shared" si="134"/>
        <v>720</v>
      </c>
      <c r="T436" s="43">
        <f t="shared" si="135"/>
        <v>304.66666666666669</v>
      </c>
      <c r="U436" s="44">
        <f t="shared" si="121"/>
        <v>42</v>
      </c>
      <c r="V436" s="45">
        <v>382</v>
      </c>
      <c r="W436" s="45">
        <v>4700</v>
      </c>
      <c r="X436" s="45" t="s">
        <v>41</v>
      </c>
      <c r="Y436" s="45" t="s">
        <v>42</v>
      </c>
      <c r="Z436" s="1">
        <f t="shared" si="136"/>
        <v>344.5</v>
      </c>
      <c r="AA436" s="1"/>
    </row>
    <row r="437" spans="1:27" s="49" customFormat="1" ht="16.5" customHeight="1" thickBot="1" x14ac:dyDescent="0.25">
      <c r="A437" s="84">
        <v>430</v>
      </c>
      <c r="B437" s="52" t="s">
        <v>35</v>
      </c>
      <c r="C437" s="41" t="s">
        <v>36</v>
      </c>
      <c r="D437" s="41" t="s">
        <v>37</v>
      </c>
      <c r="E437" s="41" t="s">
        <v>351</v>
      </c>
      <c r="F437" s="41" t="s">
        <v>498</v>
      </c>
      <c r="G437" s="42" t="s">
        <v>501</v>
      </c>
      <c r="H437" s="46" t="s">
        <v>26</v>
      </c>
      <c r="I437" s="63"/>
      <c r="J437" s="71"/>
      <c r="K437" s="66" t="s">
        <v>25</v>
      </c>
      <c r="L437" s="41">
        <v>3</v>
      </c>
      <c r="M437" s="47"/>
      <c r="N437" s="47">
        <v>300</v>
      </c>
      <c r="O437" s="43">
        <f t="shared" si="118"/>
        <v>7.6666666666666572</v>
      </c>
      <c r="P437" s="47">
        <v>179</v>
      </c>
      <c r="Q437" s="47">
        <v>184</v>
      </c>
      <c r="R437" s="47">
        <v>193</v>
      </c>
      <c r="S437" s="48">
        <f t="shared" si="134"/>
        <v>432</v>
      </c>
      <c r="T437" s="43">
        <f t="shared" si="135"/>
        <v>185.33333333333334</v>
      </c>
      <c r="U437" s="44">
        <f t="shared" si="121"/>
        <v>43</v>
      </c>
      <c r="V437" s="45">
        <v>381</v>
      </c>
      <c r="W437" s="45">
        <v>4700</v>
      </c>
      <c r="X437" s="45" t="s">
        <v>41</v>
      </c>
      <c r="Y437" s="45" t="s">
        <v>42</v>
      </c>
      <c r="Z437" s="1">
        <f t="shared" si="136"/>
        <v>203.5</v>
      </c>
      <c r="AA437" s="1">
        <f t="shared" ref="AA437:AA443" si="137">SQRT(3)/2*R437-SQRT(3)/2*M437</f>
        <v>167.14290293039664</v>
      </c>
    </row>
    <row r="438" spans="1:27" s="49" customFormat="1" ht="16.5" customHeight="1" thickBot="1" x14ac:dyDescent="0.25">
      <c r="A438" s="84">
        <v>431</v>
      </c>
      <c r="B438" s="52" t="s">
        <v>35</v>
      </c>
      <c r="C438" s="41" t="s">
        <v>36</v>
      </c>
      <c r="D438" s="41" t="s">
        <v>37</v>
      </c>
      <c r="E438" s="41" t="s">
        <v>351</v>
      </c>
      <c r="F438" s="41" t="s">
        <v>498</v>
      </c>
      <c r="G438" s="42" t="s">
        <v>502</v>
      </c>
      <c r="H438" s="46" t="s">
        <v>26</v>
      </c>
      <c r="I438" s="62"/>
      <c r="J438" s="70"/>
      <c r="K438" s="66" t="s">
        <v>28</v>
      </c>
      <c r="L438" s="41">
        <v>3</v>
      </c>
      <c r="M438" s="47"/>
      <c r="N438" s="47">
        <v>200</v>
      </c>
      <c r="O438" s="43">
        <f t="shared" si="118"/>
        <v>5</v>
      </c>
      <c r="P438" s="47">
        <v>137</v>
      </c>
      <c r="Q438" s="47">
        <v>127</v>
      </c>
      <c r="R438" s="47">
        <v>132</v>
      </c>
      <c r="S438" s="48">
        <f t="shared" si="134"/>
        <v>288</v>
      </c>
      <c r="T438" s="43">
        <f t="shared" si="135"/>
        <v>132</v>
      </c>
      <c r="U438" s="44">
        <f t="shared" si="121"/>
        <v>46</v>
      </c>
      <c r="V438" s="45">
        <v>381</v>
      </c>
      <c r="W438" s="45">
        <v>4700</v>
      </c>
      <c r="X438" s="45" t="s">
        <v>41</v>
      </c>
      <c r="Y438" s="45" t="s">
        <v>42</v>
      </c>
      <c r="Z438" s="1">
        <f t="shared" si="136"/>
        <v>134</v>
      </c>
      <c r="AA438" s="1">
        <f t="shared" si="137"/>
        <v>114.31535329954589</v>
      </c>
    </row>
    <row r="439" spans="1:27" s="49" customFormat="1" ht="16.5" customHeight="1" thickBot="1" x14ac:dyDescent="0.25">
      <c r="A439" s="84">
        <v>432</v>
      </c>
      <c r="B439" s="52" t="s">
        <v>35</v>
      </c>
      <c r="C439" s="41" t="s">
        <v>36</v>
      </c>
      <c r="D439" s="41" t="s">
        <v>37</v>
      </c>
      <c r="E439" s="41" t="s">
        <v>351</v>
      </c>
      <c r="F439" s="41" t="s">
        <v>371</v>
      </c>
      <c r="G439" s="42" t="s">
        <v>504</v>
      </c>
      <c r="H439" s="46" t="s">
        <v>26</v>
      </c>
      <c r="I439" s="63"/>
      <c r="J439" s="71"/>
      <c r="K439" s="66" t="s">
        <v>25</v>
      </c>
      <c r="L439" s="41">
        <v>3</v>
      </c>
      <c r="M439" s="47"/>
      <c r="N439" s="47">
        <v>300</v>
      </c>
      <c r="O439" s="43">
        <f t="shared" si="118"/>
        <v>7</v>
      </c>
      <c r="P439" s="47">
        <v>183</v>
      </c>
      <c r="Q439" s="47">
        <v>178</v>
      </c>
      <c r="R439" s="47">
        <v>167</v>
      </c>
      <c r="S439" s="48">
        <f t="shared" si="134"/>
        <v>432</v>
      </c>
      <c r="T439" s="43">
        <f t="shared" si="135"/>
        <v>176</v>
      </c>
      <c r="U439" s="44">
        <f t="shared" si="121"/>
        <v>41</v>
      </c>
      <c r="V439" s="45">
        <v>380</v>
      </c>
      <c r="W439" s="45">
        <v>4700</v>
      </c>
      <c r="X439" s="45" t="s">
        <v>41</v>
      </c>
      <c r="Y439" s="45" t="s">
        <v>42</v>
      </c>
      <c r="Z439" s="1">
        <f t="shared" si="136"/>
        <v>216.5</v>
      </c>
      <c r="AA439" s="1">
        <f t="shared" si="137"/>
        <v>144.62624243200125</v>
      </c>
    </row>
    <row r="440" spans="1:27" s="49" customFormat="1" ht="16.5" customHeight="1" thickBot="1" x14ac:dyDescent="0.25">
      <c r="A440" s="84">
        <v>433</v>
      </c>
      <c r="B440" s="52" t="s">
        <v>35</v>
      </c>
      <c r="C440" s="41" t="s">
        <v>36</v>
      </c>
      <c r="D440" s="41" t="s">
        <v>37</v>
      </c>
      <c r="E440" s="41" t="s">
        <v>351</v>
      </c>
      <c r="F440" s="41" t="s">
        <v>371</v>
      </c>
      <c r="G440" s="42" t="s">
        <v>372</v>
      </c>
      <c r="H440" s="46" t="s">
        <v>26</v>
      </c>
      <c r="I440" s="63"/>
      <c r="J440" s="71"/>
      <c r="K440" s="66" t="s">
        <v>25</v>
      </c>
      <c r="L440" s="41">
        <v>3</v>
      </c>
      <c r="M440" s="47"/>
      <c r="N440" s="47">
        <v>500</v>
      </c>
      <c r="O440" s="43">
        <f t="shared" ref="O440:O503" si="138">MAX(P440:R440)-AVERAGE(P440:R440)</f>
        <v>8.3333333333333144</v>
      </c>
      <c r="P440" s="47">
        <v>310</v>
      </c>
      <c r="Q440" s="47">
        <v>325</v>
      </c>
      <c r="R440" s="47">
        <v>315</v>
      </c>
      <c r="S440" s="48">
        <f t="shared" si="134"/>
        <v>720</v>
      </c>
      <c r="T440" s="43">
        <f t="shared" si="135"/>
        <v>316.66666666666669</v>
      </c>
      <c r="U440" s="44">
        <f t="shared" si="121"/>
        <v>44</v>
      </c>
      <c r="V440" s="45">
        <v>380</v>
      </c>
      <c r="W440" s="45">
        <v>4700</v>
      </c>
      <c r="X440" s="45" t="s">
        <v>41</v>
      </c>
      <c r="Y440" s="45" t="s">
        <v>42</v>
      </c>
      <c r="Z440" s="1">
        <f t="shared" si="136"/>
        <v>342.5</v>
      </c>
      <c r="AA440" s="1">
        <f t="shared" si="137"/>
        <v>272.79800219209818</v>
      </c>
    </row>
    <row r="441" spans="1:27" s="49" customFormat="1" ht="16.5" customHeight="1" thickBot="1" x14ac:dyDescent="0.25">
      <c r="A441" s="84">
        <v>434</v>
      </c>
      <c r="B441" s="52" t="s">
        <v>35</v>
      </c>
      <c r="C441" s="41" t="s">
        <v>36</v>
      </c>
      <c r="D441" s="41" t="s">
        <v>37</v>
      </c>
      <c r="E441" s="41" t="s">
        <v>351</v>
      </c>
      <c r="F441" s="41" t="s">
        <v>371</v>
      </c>
      <c r="G441" s="42" t="s">
        <v>373</v>
      </c>
      <c r="H441" s="46" t="s">
        <v>26</v>
      </c>
      <c r="I441" s="63"/>
      <c r="J441" s="71"/>
      <c r="K441" s="66" t="s">
        <v>25</v>
      </c>
      <c r="L441" s="41">
        <v>3</v>
      </c>
      <c r="M441" s="47"/>
      <c r="N441" s="47">
        <v>500</v>
      </c>
      <c r="O441" s="43">
        <f t="shared" si="138"/>
        <v>7.3333333333333144</v>
      </c>
      <c r="P441" s="47">
        <v>314</v>
      </c>
      <c r="Q441" s="47">
        <v>308</v>
      </c>
      <c r="R441" s="47">
        <v>322</v>
      </c>
      <c r="S441" s="48">
        <f t="shared" si="134"/>
        <v>720</v>
      </c>
      <c r="T441" s="43">
        <f t="shared" si="135"/>
        <v>314.66666666666669</v>
      </c>
      <c r="U441" s="44">
        <f t="shared" si="121"/>
        <v>44</v>
      </c>
      <c r="V441" s="45">
        <v>381</v>
      </c>
      <c r="W441" s="45">
        <v>4700</v>
      </c>
      <c r="X441" s="45" t="s">
        <v>41</v>
      </c>
      <c r="Y441" s="45" t="s">
        <v>42</v>
      </c>
      <c r="Z441" s="1">
        <f t="shared" si="136"/>
        <v>339</v>
      </c>
      <c r="AA441" s="1">
        <f t="shared" si="137"/>
        <v>278.86018001858923</v>
      </c>
    </row>
    <row r="442" spans="1:27" s="49" customFormat="1" ht="16.5" customHeight="1" thickBot="1" x14ac:dyDescent="0.25">
      <c r="A442" s="84">
        <v>435</v>
      </c>
      <c r="B442" s="52" t="s">
        <v>35</v>
      </c>
      <c r="C442" s="41" t="s">
        <v>36</v>
      </c>
      <c r="D442" s="41" t="s">
        <v>37</v>
      </c>
      <c r="E442" s="41" t="s">
        <v>351</v>
      </c>
      <c r="F442" s="41" t="s">
        <v>371</v>
      </c>
      <c r="G442" s="42" t="s">
        <v>506</v>
      </c>
      <c r="H442" s="46" t="s">
        <v>26</v>
      </c>
      <c r="I442" s="62"/>
      <c r="J442" s="70"/>
      <c r="K442" s="66" t="s">
        <v>28</v>
      </c>
      <c r="L442" s="41">
        <v>3</v>
      </c>
      <c r="M442" s="47"/>
      <c r="N442" s="47">
        <v>500</v>
      </c>
      <c r="O442" s="43">
        <f t="shared" si="138"/>
        <v>4</v>
      </c>
      <c r="P442" s="47">
        <v>305</v>
      </c>
      <c r="Q442" s="47">
        <v>298</v>
      </c>
      <c r="R442" s="47">
        <v>300</v>
      </c>
      <c r="S442" s="48">
        <f t="shared" si="134"/>
        <v>720</v>
      </c>
      <c r="T442" s="43">
        <f t="shared" si="135"/>
        <v>301</v>
      </c>
      <c r="U442" s="44">
        <f t="shared" si="121"/>
        <v>42</v>
      </c>
      <c r="V442" s="45">
        <v>381</v>
      </c>
      <c r="W442" s="45">
        <v>4700</v>
      </c>
      <c r="X442" s="45" t="s">
        <v>41</v>
      </c>
      <c r="Y442" s="45" t="s">
        <v>42</v>
      </c>
      <c r="Z442" s="1">
        <f t="shared" si="136"/>
        <v>350</v>
      </c>
      <c r="AA442" s="1">
        <f t="shared" si="137"/>
        <v>259.8076211353316</v>
      </c>
    </row>
    <row r="443" spans="1:27" s="49" customFormat="1" ht="16.5" customHeight="1" thickBot="1" x14ac:dyDescent="0.25">
      <c r="A443" s="84">
        <v>436</v>
      </c>
      <c r="B443" s="52" t="s">
        <v>35</v>
      </c>
      <c r="C443" s="41" t="s">
        <v>36</v>
      </c>
      <c r="D443" s="41" t="s">
        <v>37</v>
      </c>
      <c r="E443" s="41" t="s">
        <v>351</v>
      </c>
      <c r="F443" s="41" t="s">
        <v>371</v>
      </c>
      <c r="G443" s="42" t="s">
        <v>507</v>
      </c>
      <c r="H443" s="46" t="s">
        <v>26</v>
      </c>
      <c r="I443" s="63"/>
      <c r="J443" s="71"/>
      <c r="K443" s="66" t="s">
        <v>25</v>
      </c>
      <c r="L443" s="41">
        <v>3</v>
      </c>
      <c r="M443" s="47"/>
      <c r="N443" s="47">
        <v>500</v>
      </c>
      <c r="O443" s="43">
        <f t="shared" si="138"/>
        <v>9.6666666666666856</v>
      </c>
      <c r="P443" s="47">
        <v>297</v>
      </c>
      <c r="Q443" s="47">
        <v>308</v>
      </c>
      <c r="R443" s="47">
        <v>290</v>
      </c>
      <c r="S443" s="48">
        <f t="shared" si="134"/>
        <v>720</v>
      </c>
      <c r="T443" s="43">
        <f t="shared" si="135"/>
        <v>298.33333333333331</v>
      </c>
      <c r="U443" s="44">
        <f t="shared" si="121"/>
        <v>41</v>
      </c>
      <c r="V443" s="45">
        <v>381</v>
      </c>
      <c r="W443" s="45">
        <v>4700</v>
      </c>
      <c r="X443" s="45" t="s">
        <v>41</v>
      </c>
      <c r="Y443" s="45" t="s">
        <v>42</v>
      </c>
      <c r="Z443" s="1">
        <f t="shared" si="136"/>
        <v>355</v>
      </c>
      <c r="AA443" s="1">
        <f t="shared" si="137"/>
        <v>251.14736709748721</v>
      </c>
    </row>
    <row r="444" spans="1:27" s="49" customFormat="1" ht="16.5" customHeight="1" thickBot="1" x14ac:dyDescent="0.25">
      <c r="A444" s="84">
        <v>437</v>
      </c>
      <c r="B444" s="52" t="s">
        <v>35</v>
      </c>
      <c r="C444" s="41" t="s">
        <v>36</v>
      </c>
      <c r="D444" s="41" t="s">
        <v>37</v>
      </c>
      <c r="E444" s="41" t="s">
        <v>351</v>
      </c>
      <c r="F444" s="41" t="s">
        <v>371</v>
      </c>
      <c r="G444" s="42" t="s">
        <v>357</v>
      </c>
      <c r="H444" s="46" t="s">
        <v>23</v>
      </c>
      <c r="I444" s="63"/>
      <c r="J444" s="71"/>
      <c r="K444" s="66" t="s">
        <v>25</v>
      </c>
      <c r="L444" s="41">
        <v>3</v>
      </c>
      <c r="M444" s="47">
        <v>3</v>
      </c>
      <c r="N444" s="47">
        <v>250</v>
      </c>
      <c r="O444" s="43">
        <f t="shared" si="138"/>
        <v>6.3333333333333286</v>
      </c>
      <c r="P444" s="47">
        <v>130</v>
      </c>
      <c r="Q444" s="47">
        <v>115</v>
      </c>
      <c r="R444" s="47">
        <v>126</v>
      </c>
      <c r="S444" s="48">
        <f t="shared" ref="S444:S452" si="139">1.44*N444</f>
        <v>360</v>
      </c>
      <c r="T444" s="43">
        <f t="shared" ref="T444:T452" si="140">(R444+Q444+P444)/3</f>
        <v>123.66666666666667</v>
      </c>
      <c r="U444" s="44">
        <f t="shared" si="121"/>
        <v>34</v>
      </c>
      <c r="V444" s="45">
        <v>380</v>
      </c>
      <c r="W444" s="45">
        <v>4700</v>
      </c>
      <c r="X444" s="45" t="s">
        <v>41</v>
      </c>
      <c r="Y444" s="45" t="s">
        <v>42</v>
      </c>
      <c r="Z444" s="1"/>
      <c r="AA444" s="1"/>
    </row>
    <row r="445" spans="1:27" s="49" customFormat="1" ht="16.5" customHeight="1" thickBot="1" x14ac:dyDescent="0.25">
      <c r="A445" s="84">
        <v>438</v>
      </c>
      <c r="B445" s="52" t="s">
        <v>35</v>
      </c>
      <c r="C445" s="41" t="s">
        <v>36</v>
      </c>
      <c r="D445" s="41" t="s">
        <v>37</v>
      </c>
      <c r="E445" s="41" t="s">
        <v>351</v>
      </c>
      <c r="F445" s="41" t="s">
        <v>371</v>
      </c>
      <c r="G445" s="42" t="s">
        <v>358</v>
      </c>
      <c r="H445" s="46" t="s">
        <v>23</v>
      </c>
      <c r="I445" s="63"/>
      <c r="J445" s="71"/>
      <c r="K445" s="66" t="s">
        <v>25</v>
      </c>
      <c r="L445" s="41">
        <v>3</v>
      </c>
      <c r="M445" s="47">
        <v>2</v>
      </c>
      <c r="N445" s="47">
        <v>800</v>
      </c>
      <c r="O445" s="43">
        <f t="shared" si="138"/>
        <v>5.6666666666666856</v>
      </c>
      <c r="P445" s="47">
        <v>365</v>
      </c>
      <c r="Q445" s="47">
        <v>351</v>
      </c>
      <c r="R445" s="47">
        <v>362</v>
      </c>
      <c r="S445" s="48">
        <f t="shared" si="139"/>
        <v>1152</v>
      </c>
      <c r="T445" s="43">
        <f t="shared" si="140"/>
        <v>359.33333333333331</v>
      </c>
      <c r="U445" s="44">
        <f t="shared" si="121"/>
        <v>31</v>
      </c>
      <c r="V445" s="45">
        <v>382</v>
      </c>
      <c r="W445" s="45">
        <v>4700</v>
      </c>
      <c r="X445" s="45" t="s">
        <v>41</v>
      </c>
      <c r="Y445" s="45" t="s">
        <v>42</v>
      </c>
      <c r="Z445" s="1"/>
      <c r="AA445" s="1"/>
    </row>
    <row r="446" spans="1:27" s="49" customFormat="1" ht="16.5" customHeight="1" thickBot="1" x14ac:dyDescent="0.25">
      <c r="A446" s="98">
        <v>439</v>
      </c>
      <c r="B446" s="102" t="s">
        <v>35</v>
      </c>
      <c r="C446" s="103" t="s">
        <v>36</v>
      </c>
      <c r="D446" s="103" t="s">
        <v>37</v>
      </c>
      <c r="E446" s="103" t="s">
        <v>351</v>
      </c>
      <c r="F446" s="103" t="s">
        <v>371</v>
      </c>
      <c r="G446" s="99" t="s">
        <v>308</v>
      </c>
      <c r="H446" s="115" t="s">
        <v>23</v>
      </c>
      <c r="I446" s="121"/>
      <c r="J446" s="122"/>
      <c r="K446" s="116" t="s">
        <v>25</v>
      </c>
      <c r="L446" s="103">
        <v>3</v>
      </c>
      <c r="M446" s="117">
        <v>2</v>
      </c>
      <c r="N446" s="117">
        <v>500</v>
      </c>
      <c r="O446" s="118">
        <f t="shared" si="138"/>
        <v>6.3333333333333428</v>
      </c>
      <c r="P446" s="117">
        <v>222</v>
      </c>
      <c r="Q446" s="117">
        <v>227</v>
      </c>
      <c r="R446" s="117">
        <v>234</v>
      </c>
      <c r="S446" s="120">
        <f t="shared" si="139"/>
        <v>720</v>
      </c>
      <c r="T446" s="118">
        <f t="shared" si="140"/>
        <v>227.66666666666666</v>
      </c>
      <c r="U446" s="100">
        <f t="shared" si="121"/>
        <v>32</v>
      </c>
      <c r="V446" s="104">
        <v>382</v>
      </c>
      <c r="W446" s="104">
        <v>4700</v>
      </c>
      <c r="X446" s="104" t="s">
        <v>41</v>
      </c>
      <c r="Y446" s="104" t="s">
        <v>42</v>
      </c>
      <c r="Z446" s="1"/>
      <c r="AA446" s="1"/>
    </row>
    <row r="447" spans="1:27" s="49" customFormat="1" ht="16.5" customHeight="1" thickBot="1" x14ac:dyDescent="0.25">
      <c r="A447" s="84">
        <v>440</v>
      </c>
      <c r="B447" s="52" t="s">
        <v>35</v>
      </c>
      <c r="C447" s="41" t="s">
        <v>36</v>
      </c>
      <c r="D447" s="41" t="s">
        <v>37</v>
      </c>
      <c r="E447" s="41" t="s">
        <v>351</v>
      </c>
      <c r="F447" s="41" t="s">
        <v>374</v>
      </c>
      <c r="G447" s="42" t="s">
        <v>505</v>
      </c>
      <c r="H447" s="46" t="s">
        <v>26</v>
      </c>
      <c r="I447" s="63"/>
      <c r="J447" s="71"/>
      <c r="K447" s="66" t="s">
        <v>25</v>
      </c>
      <c r="L447" s="41">
        <v>3</v>
      </c>
      <c r="M447" s="47"/>
      <c r="N447" s="47">
        <v>500</v>
      </c>
      <c r="O447" s="43">
        <f t="shared" si="138"/>
        <v>13.666666666666686</v>
      </c>
      <c r="P447" s="47">
        <v>315</v>
      </c>
      <c r="Q447" s="47">
        <v>295</v>
      </c>
      <c r="R447" s="47">
        <v>294</v>
      </c>
      <c r="S447" s="48">
        <f t="shared" si="139"/>
        <v>720</v>
      </c>
      <c r="T447" s="43">
        <f t="shared" si="140"/>
        <v>301.33333333333331</v>
      </c>
      <c r="U447" s="44">
        <f t="shared" si="121"/>
        <v>42</v>
      </c>
      <c r="V447" s="45">
        <v>382</v>
      </c>
      <c r="W447" s="45">
        <v>4700</v>
      </c>
      <c r="X447" s="45" t="s">
        <v>41</v>
      </c>
      <c r="Y447" s="45" t="s">
        <v>42</v>
      </c>
      <c r="Z447" s="1">
        <f t="shared" ref="Z447:Z464" si="141">N447-0.5*R447-0.5*M447</f>
        <v>353</v>
      </c>
      <c r="AA447" s="1">
        <f t="shared" ref="AA447:AA464" si="142">SQRT(3)/2*R447-SQRT(3)/2*M447</f>
        <v>254.61146871262494</v>
      </c>
    </row>
    <row r="448" spans="1:27" s="49" customFormat="1" ht="16.5" customHeight="1" thickBot="1" x14ac:dyDescent="0.25">
      <c r="A448" s="84">
        <v>441</v>
      </c>
      <c r="B448" s="52" t="s">
        <v>35</v>
      </c>
      <c r="C448" s="41" t="s">
        <v>36</v>
      </c>
      <c r="D448" s="41" t="s">
        <v>37</v>
      </c>
      <c r="E448" s="41" t="s">
        <v>351</v>
      </c>
      <c r="F448" s="41" t="s">
        <v>374</v>
      </c>
      <c r="G448" s="42" t="s">
        <v>375</v>
      </c>
      <c r="H448" s="46" t="s">
        <v>26</v>
      </c>
      <c r="I448" s="63"/>
      <c r="J448" s="71"/>
      <c r="K448" s="66" t="s">
        <v>25</v>
      </c>
      <c r="L448" s="41">
        <v>3</v>
      </c>
      <c r="M448" s="47"/>
      <c r="N448" s="47">
        <v>500</v>
      </c>
      <c r="O448" s="43">
        <f t="shared" si="138"/>
        <v>7</v>
      </c>
      <c r="P448" s="47">
        <v>294</v>
      </c>
      <c r="Q448" s="47">
        <v>302</v>
      </c>
      <c r="R448" s="47">
        <v>289</v>
      </c>
      <c r="S448" s="48">
        <f t="shared" si="139"/>
        <v>720</v>
      </c>
      <c r="T448" s="43">
        <f t="shared" si="140"/>
        <v>295</v>
      </c>
      <c r="U448" s="44">
        <f t="shared" si="121"/>
        <v>41</v>
      </c>
      <c r="V448" s="45">
        <v>382</v>
      </c>
      <c r="W448" s="45">
        <v>4700</v>
      </c>
      <c r="X448" s="45" t="s">
        <v>41</v>
      </c>
      <c r="Y448" s="45" t="s">
        <v>42</v>
      </c>
      <c r="Z448" s="1">
        <f t="shared" si="141"/>
        <v>355.5</v>
      </c>
      <c r="AA448" s="1">
        <f t="shared" si="142"/>
        <v>250.28134169370276</v>
      </c>
    </row>
    <row r="449" spans="1:27" s="49" customFormat="1" ht="16.5" customHeight="1" thickBot="1" x14ac:dyDescent="0.25">
      <c r="A449" s="84">
        <v>442</v>
      </c>
      <c r="B449" s="52" t="s">
        <v>35</v>
      </c>
      <c r="C449" s="41" t="s">
        <v>36</v>
      </c>
      <c r="D449" s="41" t="s">
        <v>37</v>
      </c>
      <c r="E449" s="41" t="s">
        <v>351</v>
      </c>
      <c r="F449" s="41" t="s">
        <v>508</v>
      </c>
      <c r="G449" s="42" t="s">
        <v>508</v>
      </c>
      <c r="H449" s="46" t="s">
        <v>26</v>
      </c>
      <c r="I449" s="62"/>
      <c r="J449" s="70"/>
      <c r="K449" s="67" t="s">
        <v>28</v>
      </c>
      <c r="L449" s="41">
        <v>3</v>
      </c>
      <c r="M449" s="47"/>
      <c r="N449" s="47">
        <v>500</v>
      </c>
      <c r="O449" s="43">
        <f t="shared" si="138"/>
        <v>8.6666666666666856</v>
      </c>
      <c r="P449" s="47">
        <v>315</v>
      </c>
      <c r="Q449" s="47">
        <v>296</v>
      </c>
      <c r="R449" s="47">
        <v>308</v>
      </c>
      <c r="S449" s="48">
        <f t="shared" si="139"/>
        <v>720</v>
      </c>
      <c r="T449" s="43">
        <f t="shared" si="140"/>
        <v>306.33333333333331</v>
      </c>
      <c r="U449" s="44">
        <f t="shared" si="121"/>
        <v>43</v>
      </c>
      <c r="V449" s="45">
        <v>381</v>
      </c>
      <c r="W449" s="45">
        <v>4700</v>
      </c>
      <c r="X449" s="45" t="s">
        <v>41</v>
      </c>
      <c r="Y449" s="45" t="s">
        <v>42</v>
      </c>
      <c r="Z449" s="1">
        <f t="shared" si="141"/>
        <v>346</v>
      </c>
      <c r="AA449" s="1">
        <f t="shared" si="142"/>
        <v>266.73582436560707</v>
      </c>
    </row>
    <row r="450" spans="1:27" s="49" customFormat="1" ht="16.5" customHeight="1" thickBot="1" x14ac:dyDescent="0.25">
      <c r="A450" s="84">
        <v>443</v>
      </c>
      <c r="B450" s="52" t="s">
        <v>35</v>
      </c>
      <c r="C450" s="41" t="s">
        <v>36</v>
      </c>
      <c r="D450" s="41" t="s">
        <v>37</v>
      </c>
      <c r="E450" s="41" t="s">
        <v>351</v>
      </c>
      <c r="F450" s="41" t="s">
        <v>509</v>
      </c>
      <c r="G450" s="42" t="s">
        <v>509</v>
      </c>
      <c r="H450" s="46" t="s">
        <v>26</v>
      </c>
      <c r="I450" s="62"/>
      <c r="J450" s="70"/>
      <c r="K450" s="67" t="s">
        <v>28</v>
      </c>
      <c r="L450" s="41">
        <v>3</v>
      </c>
      <c r="M450" s="47"/>
      <c r="N450" s="47">
        <v>500</v>
      </c>
      <c r="O450" s="43">
        <f t="shared" si="138"/>
        <v>10</v>
      </c>
      <c r="P450" s="47">
        <v>294</v>
      </c>
      <c r="Q450" s="47">
        <v>305</v>
      </c>
      <c r="R450" s="47">
        <v>286</v>
      </c>
      <c r="S450" s="48">
        <f t="shared" si="139"/>
        <v>720</v>
      </c>
      <c r="T450" s="43">
        <f t="shared" si="140"/>
        <v>295</v>
      </c>
      <c r="U450" s="44">
        <f t="shared" si="121"/>
        <v>41</v>
      </c>
      <c r="V450" s="45">
        <v>381</v>
      </c>
      <c r="W450" s="45">
        <v>4700</v>
      </c>
      <c r="X450" s="45" t="s">
        <v>41</v>
      </c>
      <c r="Y450" s="45" t="s">
        <v>42</v>
      </c>
      <c r="Z450" s="1">
        <f t="shared" si="141"/>
        <v>357</v>
      </c>
      <c r="AA450" s="1">
        <f t="shared" si="142"/>
        <v>247.68326548234944</v>
      </c>
    </row>
    <row r="451" spans="1:27" s="49" customFormat="1" ht="16.5" customHeight="1" thickBot="1" x14ac:dyDescent="0.25">
      <c r="A451" s="84">
        <v>444</v>
      </c>
      <c r="B451" s="52" t="s">
        <v>35</v>
      </c>
      <c r="C451" s="41" t="s">
        <v>36</v>
      </c>
      <c r="D451" s="41" t="s">
        <v>37</v>
      </c>
      <c r="E451" s="41" t="s">
        <v>351</v>
      </c>
      <c r="F451" s="41" t="s">
        <v>510</v>
      </c>
      <c r="G451" s="42" t="s">
        <v>510</v>
      </c>
      <c r="H451" s="46" t="s">
        <v>26</v>
      </c>
      <c r="I451" s="62"/>
      <c r="J451" s="70"/>
      <c r="K451" s="67" t="s">
        <v>28</v>
      </c>
      <c r="L451" s="41">
        <v>3</v>
      </c>
      <c r="M451" s="47"/>
      <c r="N451" s="47">
        <v>3000</v>
      </c>
      <c r="O451" s="43">
        <f t="shared" si="138"/>
        <v>15</v>
      </c>
      <c r="P451" s="47">
        <v>1920</v>
      </c>
      <c r="Q451" s="47">
        <v>1935</v>
      </c>
      <c r="R451" s="47">
        <v>1905</v>
      </c>
      <c r="S451" s="48">
        <f t="shared" si="139"/>
        <v>4320</v>
      </c>
      <c r="T451" s="43">
        <f t="shared" si="140"/>
        <v>1920</v>
      </c>
      <c r="U451" s="44">
        <f t="shared" si="121"/>
        <v>44</v>
      </c>
      <c r="V451" s="45">
        <v>382</v>
      </c>
      <c r="W451" s="45">
        <v>4700</v>
      </c>
      <c r="X451" s="45" t="s">
        <v>41</v>
      </c>
      <c r="Y451" s="45" t="s">
        <v>42</v>
      </c>
      <c r="Z451" s="1">
        <f t="shared" si="141"/>
        <v>2047.5</v>
      </c>
      <c r="AA451" s="1">
        <f t="shared" si="142"/>
        <v>1649.7783942093556</v>
      </c>
    </row>
    <row r="452" spans="1:27" s="49" customFormat="1" ht="16.5" customHeight="1" thickBot="1" x14ac:dyDescent="0.25">
      <c r="A452" s="84">
        <v>445</v>
      </c>
      <c r="B452" s="52" t="s">
        <v>35</v>
      </c>
      <c r="C452" s="41" t="s">
        <v>36</v>
      </c>
      <c r="D452" s="41" t="s">
        <v>37</v>
      </c>
      <c r="E452" s="41" t="s">
        <v>351</v>
      </c>
      <c r="F452" s="41" t="s">
        <v>511</v>
      </c>
      <c r="G452" s="42" t="s">
        <v>511</v>
      </c>
      <c r="H452" s="46" t="s">
        <v>26</v>
      </c>
      <c r="I452" s="62"/>
      <c r="J452" s="70"/>
      <c r="K452" s="67" t="s">
        <v>28</v>
      </c>
      <c r="L452" s="41">
        <v>3</v>
      </c>
      <c r="M452" s="47"/>
      <c r="N452" s="47">
        <v>3000</v>
      </c>
      <c r="O452" s="43">
        <f t="shared" si="138"/>
        <v>26.666666666666742</v>
      </c>
      <c r="P452" s="47">
        <v>1990</v>
      </c>
      <c r="Q452" s="47">
        <v>2005</v>
      </c>
      <c r="R452" s="47">
        <v>1940</v>
      </c>
      <c r="S452" s="48">
        <f t="shared" si="139"/>
        <v>4320</v>
      </c>
      <c r="T452" s="43">
        <f t="shared" si="140"/>
        <v>1978.3333333333333</v>
      </c>
      <c r="U452" s="44">
        <f t="shared" si="121"/>
        <v>46</v>
      </c>
      <c r="V452" s="45">
        <v>382</v>
      </c>
      <c r="W452" s="45">
        <v>4700</v>
      </c>
      <c r="X452" s="45" t="s">
        <v>41</v>
      </c>
      <c r="Y452" s="45" t="s">
        <v>42</v>
      </c>
      <c r="Z452" s="1">
        <f t="shared" si="141"/>
        <v>2030</v>
      </c>
      <c r="AA452" s="1">
        <f t="shared" si="142"/>
        <v>1680.0892833418109</v>
      </c>
    </row>
    <row r="453" spans="1:27" s="49" customFormat="1" ht="16.899999999999999" customHeight="1" thickBot="1" x14ac:dyDescent="0.25">
      <c r="A453" s="98">
        <v>446</v>
      </c>
      <c r="B453" s="102" t="s">
        <v>35</v>
      </c>
      <c r="C453" s="103" t="s">
        <v>36</v>
      </c>
      <c r="D453" s="103" t="s">
        <v>37</v>
      </c>
      <c r="E453" s="103" t="s">
        <v>351</v>
      </c>
      <c r="F453" s="103" t="s">
        <v>376</v>
      </c>
      <c r="G453" s="99" t="s">
        <v>377</v>
      </c>
      <c r="H453" s="115" t="s">
        <v>23</v>
      </c>
      <c r="I453" s="129" t="s">
        <v>593</v>
      </c>
      <c r="J453" s="108"/>
      <c r="K453" s="130" t="s">
        <v>28</v>
      </c>
      <c r="L453" s="103">
        <v>3</v>
      </c>
      <c r="M453" s="117"/>
      <c r="N453" s="117">
        <v>1500</v>
      </c>
      <c r="O453" s="118">
        <f t="shared" si="138"/>
        <v>6.6666666666666288</v>
      </c>
      <c r="P453" s="117">
        <v>682</v>
      </c>
      <c r="Q453" s="117">
        <v>695</v>
      </c>
      <c r="R453" s="117">
        <v>688</v>
      </c>
      <c r="S453" s="120">
        <f t="shared" ref="S453:S473" si="143">1.44*N453</f>
        <v>2160</v>
      </c>
      <c r="T453" s="118">
        <f t="shared" ref="T453:T473" si="144">(R453+Q453+P453)/3</f>
        <v>688.33333333333337</v>
      </c>
      <c r="U453" s="100">
        <f t="shared" si="121"/>
        <v>32</v>
      </c>
      <c r="V453" s="104">
        <v>380</v>
      </c>
      <c r="W453" s="104">
        <v>4700</v>
      </c>
      <c r="X453" s="104" t="s">
        <v>41</v>
      </c>
      <c r="Y453" s="104" t="s">
        <v>42</v>
      </c>
      <c r="Z453" s="1">
        <f t="shared" si="141"/>
        <v>1156</v>
      </c>
      <c r="AA453" s="1">
        <f t="shared" si="142"/>
        <v>595.82547780369373</v>
      </c>
    </row>
    <row r="454" spans="1:27" s="49" customFormat="1" ht="16.5" customHeight="1" thickBot="1" x14ac:dyDescent="0.25">
      <c r="A454" s="98">
        <v>447</v>
      </c>
      <c r="B454" s="102" t="s">
        <v>35</v>
      </c>
      <c r="C454" s="103" t="s">
        <v>36</v>
      </c>
      <c r="D454" s="103" t="s">
        <v>37</v>
      </c>
      <c r="E454" s="103" t="s">
        <v>351</v>
      </c>
      <c r="F454" s="103" t="s">
        <v>376</v>
      </c>
      <c r="G454" s="99" t="s">
        <v>378</v>
      </c>
      <c r="H454" s="115" t="s">
        <v>23</v>
      </c>
      <c r="I454" s="107" t="s">
        <v>573</v>
      </c>
      <c r="J454" s="108"/>
      <c r="K454" s="130" t="s">
        <v>28</v>
      </c>
      <c r="L454" s="103">
        <v>3</v>
      </c>
      <c r="M454" s="117"/>
      <c r="N454" s="117">
        <v>1000</v>
      </c>
      <c r="O454" s="118">
        <f t="shared" si="138"/>
        <v>7.3333333333333144</v>
      </c>
      <c r="P454" s="117">
        <v>495</v>
      </c>
      <c r="Q454" s="117">
        <v>507</v>
      </c>
      <c r="R454" s="117">
        <v>497</v>
      </c>
      <c r="S454" s="120">
        <f t="shared" si="143"/>
        <v>1440</v>
      </c>
      <c r="T454" s="118">
        <f t="shared" si="144"/>
        <v>499.66666666666669</v>
      </c>
      <c r="U454" s="100">
        <f t="shared" si="121"/>
        <v>35</v>
      </c>
      <c r="V454" s="104">
        <v>381</v>
      </c>
      <c r="W454" s="104">
        <v>4700</v>
      </c>
      <c r="X454" s="104" t="s">
        <v>41</v>
      </c>
      <c r="Y454" s="104" t="s">
        <v>42</v>
      </c>
      <c r="Z454" s="1">
        <f t="shared" si="141"/>
        <v>751.5</v>
      </c>
      <c r="AA454" s="1">
        <f t="shared" si="142"/>
        <v>430.41462568086598</v>
      </c>
    </row>
    <row r="455" spans="1:27" s="49" customFormat="1" ht="16.5" customHeight="1" thickBot="1" x14ac:dyDescent="0.3">
      <c r="A455" s="98">
        <v>448</v>
      </c>
      <c r="B455" s="102" t="s">
        <v>35</v>
      </c>
      <c r="C455" s="103" t="s">
        <v>36</v>
      </c>
      <c r="D455" s="103" t="s">
        <v>37</v>
      </c>
      <c r="E455" s="103" t="s">
        <v>379</v>
      </c>
      <c r="F455" s="103" t="s">
        <v>380</v>
      </c>
      <c r="G455" s="99" t="s">
        <v>381</v>
      </c>
      <c r="H455" s="115" t="s">
        <v>23</v>
      </c>
      <c r="I455" s="107"/>
      <c r="J455" s="108"/>
      <c r="K455" s="130" t="s">
        <v>28</v>
      </c>
      <c r="L455" s="117">
        <v>3</v>
      </c>
      <c r="M455" s="117"/>
      <c r="N455" s="117">
        <v>1000</v>
      </c>
      <c r="O455" s="118">
        <f t="shared" si="138"/>
        <v>6.3333333333333144</v>
      </c>
      <c r="P455" s="119">
        <v>470</v>
      </c>
      <c r="Q455" s="119">
        <v>458</v>
      </c>
      <c r="R455" s="119">
        <v>463</v>
      </c>
      <c r="S455" s="120">
        <f t="shared" si="143"/>
        <v>1440</v>
      </c>
      <c r="T455" s="118">
        <f t="shared" si="144"/>
        <v>463.66666666666669</v>
      </c>
      <c r="U455" s="100">
        <f t="shared" si="121"/>
        <v>32</v>
      </c>
      <c r="V455" s="104">
        <v>382</v>
      </c>
      <c r="W455" s="104">
        <v>2000</v>
      </c>
      <c r="X455" s="104" t="s">
        <v>41</v>
      </c>
      <c r="Y455" s="104" t="s">
        <v>42</v>
      </c>
      <c r="Z455" s="1">
        <f t="shared" si="141"/>
        <v>768.5</v>
      </c>
      <c r="AA455" s="1">
        <f t="shared" si="142"/>
        <v>400.96976195219509</v>
      </c>
    </row>
    <row r="456" spans="1:27" s="49" customFormat="1" ht="16.5" customHeight="1" thickBot="1" x14ac:dyDescent="0.3">
      <c r="A456" s="84">
        <v>449</v>
      </c>
      <c r="B456" s="52" t="s">
        <v>35</v>
      </c>
      <c r="C456" s="41" t="s">
        <v>36</v>
      </c>
      <c r="D456" s="41" t="s">
        <v>37</v>
      </c>
      <c r="E456" s="41" t="s">
        <v>379</v>
      </c>
      <c r="F456" s="41" t="s">
        <v>380</v>
      </c>
      <c r="G456" s="42" t="s">
        <v>382</v>
      </c>
      <c r="H456" s="46" t="s">
        <v>23</v>
      </c>
      <c r="I456" s="62"/>
      <c r="J456" s="70"/>
      <c r="K456" s="67" t="s">
        <v>28</v>
      </c>
      <c r="L456" s="47">
        <v>3</v>
      </c>
      <c r="M456" s="47"/>
      <c r="N456" s="47">
        <v>1000</v>
      </c>
      <c r="O456" s="43">
        <f t="shared" si="138"/>
        <v>5</v>
      </c>
      <c r="P456" s="57">
        <v>460</v>
      </c>
      <c r="Q456" s="57">
        <v>449</v>
      </c>
      <c r="R456" s="57">
        <v>456</v>
      </c>
      <c r="S456" s="48">
        <f t="shared" si="143"/>
        <v>1440</v>
      </c>
      <c r="T456" s="43">
        <f t="shared" si="144"/>
        <v>455</v>
      </c>
      <c r="U456" s="44">
        <f t="shared" si="121"/>
        <v>32</v>
      </c>
      <c r="V456" s="45">
        <v>382</v>
      </c>
      <c r="W456" s="45">
        <v>2000</v>
      </c>
      <c r="X456" s="45" t="s">
        <v>41</v>
      </c>
      <c r="Y456" s="45" t="s">
        <v>42</v>
      </c>
      <c r="Z456" s="1">
        <f t="shared" si="141"/>
        <v>772</v>
      </c>
      <c r="AA456" s="1">
        <f t="shared" si="142"/>
        <v>394.90758412570398</v>
      </c>
    </row>
    <row r="457" spans="1:27" s="49" customFormat="1" ht="16.5" customHeight="1" thickBot="1" x14ac:dyDescent="0.3">
      <c r="A457" s="98">
        <v>450</v>
      </c>
      <c r="B457" s="102" t="s">
        <v>35</v>
      </c>
      <c r="C457" s="103" t="s">
        <v>36</v>
      </c>
      <c r="D457" s="103" t="s">
        <v>37</v>
      </c>
      <c r="E457" s="103" t="s">
        <v>379</v>
      </c>
      <c r="F457" s="103" t="s">
        <v>380</v>
      </c>
      <c r="G457" s="99" t="s">
        <v>383</v>
      </c>
      <c r="H457" s="115" t="s">
        <v>23</v>
      </c>
      <c r="I457" s="107"/>
      <c r="J457" s="108"/>
      <c r="K457" s="130" t="s">
        <v>28</v>
      </c>
      <c r="L457" s="117">
        <v>3</v>
      </c>
      <c r="M457" s="117"/>
      <c r="N457" s="117">
        <v>1000</v>
      </c>
      <c r="O457" s="118">
        <f t="shared" si="138"/>
        <v>6.3333333333333144</v>
      </c>
      <c r="P457" s="119">
        <v>435</v>
      </c>
      <c r="Q457" s="119">
        <v>446</v>
      </c>
      <c r="R457" s="119">
        <v>438</v>
      </c>
      <c r="S457" s="120">
        <f t="shared" si="143"/>
        <v>1440</v>
      </c>
      <c r="T457" s="118">
        <f t="shared" si="144"/>
        <v>439.66666666666669</v>
      </c>
      <c r="U457" s="100">
        <f t="shared" si="121"/>
        <v>31</v>
      </c>
      <c r="V457" s="104">
        <v>381</v>
      </c>
      <c r="W457" s="104">
        <v>2000</v>
      </c>
      <c r="X457" s="104" t="s">
        <v>41</v>
      </c>
      <c r="Y457" s="104" t="s">
        <v>42</v>
      </c>
      <c r="Z457" s="1">
        <f t="shared" si="141"/>
        <v>781</v>
      </c>
      <c r="AA457" s="1">
        <f t="shared" si="142"/>
        <v>379.31912685758408</v>
      </c>
    </row>
    <row r="458" spans="1:27" s="49" customFormat="1" ht="16.5" customHeight="1" thickBot="1" x14ac:dyDescent="0.3">
      <c r="A458" s="98">
        <v>451</v>
      </c>
      <c r="B458" s="102" t="s">
        <v>35</v>
      </c>
      <c r="C458" s="103" t="s">
        <v>36</v>
      </c>
      <c r="D458" s="103" t="s">
        <v>37</v>
      </c>
      <c r="E458" s="103" t="s">
        <v>379</v>
      </c>
      <c r="F458" s="103" t="s">
        <v>384</v>
      </c>
      <c r="G458" s="99" t="s">
        <v>385</v>
      </c>
      <c r="H458" s="115" t="s">
        <v>23</v>
      </c>
      <c r="I458" s="107"/>
      <c r="J458" s="108"/>
      <c r="K458" s="130" t="s">
        <v>28</v>
      </c>
      <c r="L458" s="117">
        <v>3</v>
      </c>
      <c r="M458" s="117">
        <v>3</v>
      </c>
      <c r="N458" s="117">
        <v>1000</v>
      </c>
      <c r="O458" s="118">
        <f t="shared" si="138"/>
        <v>5.3333333333333144</v>
      </c>
      <c r="P458" s="119">
        <v>445</v>
      </c>
      <c r="Q458" s="119">
        <v>450</v>
      </c>
      <c r="R458" s="119">
        <v>439</v>
      </c>
      <c r="S458" s="120">
        <f t="shared" si="143"/>
        <v>1440</v>
      </c>
      <c r="T458" s="118">
        <f t="shared" si="144"/>
        <v>444.66666666666669</v>
      </c>
      <c r="U458" s="100">
        <f t="shared" si="121"/>
        <v>31</v>
      </c>
      <c r="V458" s="104">
        <v>381</v>
      </c>
      <c r="W458" s="104">
        <v>2000</v>
      </c>
      <c r="X458" s="104" t="s">
        <v>41</v>
      </c>
      <c r="Y458" s="104" t="s">
        <v>42</v>
      </c>
      <c r="Z458" s="61">
        <f t="shared" si="141"/>
        <v>779</v>
      </c>
      <c r="AA458" s="61">
        <f t="shared" si="142"/>
        <v>377.58707605001524</v>
      </c>
    </row>
    <row r="459" spans="1:27" s="49" customFormat="1" ht="16.5" customHeight="1" thickBot="1" x14ac:dyDescent="0.3">
      <c r="A459" s="98">
        <v>452</v>
      </c>
      <c r="B459" s="102" t="s">
        <v>35</v>
      </c>
      <c r="C459" s="103" t="s">
        <v>36</v>
      </c>
      <c r="D459" s="103" t="s">
        <v>37</v>
      </c>
      <c r="E459" s="103" t="s">
        <v>379</v>
      </c>
      <c r="F459" s="103" t="s">
        <v>384</v>
      </c>
      <c r="G459" s="99" t="s">
        <v>386</v>
      </c>
      <c r="H459" s="115" t="s">
        <v>23</v>
      </c>
      <c r="I459" s="107"/>
      <c r="J459" s="108"/>
      <c r="K459" s="130" t="s">
        <v>28</v>
      </c>
      <c r="L459" s="117">
        <v>3</v>
      </c>
      <c r="M459" s="117"/>
      <c r="N459" s="117">
        <v>1000</v>
      </c>
      <c r="O459" s="118">
        <f t="shared" si="138"/>
        <v>4.6666666666666856</v>
      </c>
      <c r="P459" s="119">
        <v>450</v>
      </c>
      <c r="Q459" s="119">
        <v>442</v>
      </c>
      <c r="R459" s="119">
        <v>453</v>
      </c>
      <c r="S459" s="120">
        <f t="shared" si="143"/>
        <v>1440</v>
      </c>
      <c r="T459" s="118">
        <f t="shared" si="144"/>
        <v>448.33333333333331</v>
      </c>
      <c r="U459" s="100">
        <f t="shared" si="121"/>
        <v>31</v>
      </c>
      <c r="V459" s="104">
        <v>381</v>
      </c>
      <c r="W459" s="104">
        <v>2000</v>
      </c>
      <c r="X459" s="104" t="s">
        <v>41</v>
      </c>
      <c r="Y459" s="104" t="s">
        <v>42</v>
      </c>
      <c r="Z459" s="1">
        <f t="shared" si="141"/>
        <v>773.5</v>
      </c>
      <c r="AA459" s="1">
        <f t="shared" si="142"/>
        <v>392.30950791435066</v>
      </c>
    </row>
    <row r="460" spans="1:27" s="49" customFormat="1" ht="16.5" customHeight="1" thickBot="1" x14ac:dyDescent="0.3">
      <c r="A460" s="98">
        <v>453</v>
      </c>
      <c r="B460" s="102" t="s">
        <v>35</v>
      </c>
      <c r="C460" s="103" t="s">
        <v>36</v>
      </c>
      <c r="D460" s="103" t="s">
        <v>37</v>
      </c>
      <c r="E460" s="103" t="s">
        <v>379</v>
      </c>
      <c r="F460" s="103" t="s">
        <v>387</v>
      </c>
      <c r="G460" s="99" t="s">
        <v>388</v>
      </c>
      <c r="H460" s="115" t="s">
        <v>23</v>
      </c>
      <c r="I460" s="107"/>
      <c r="J460" s="108"/>
      <c r="K460" s="130" t="s">
        <v>28</v>
      </c>
      <c r="L460" s="117">
        <v>3</v>
      </c>
      <c r="M460" s="117">
        <v>5</v>
      </c>
      <c r="N460" s="117">
        <v>1500</v>
      </c>
      <c r="O460" s="118">
        <f t="shared" si="138"/>
        <v>6.6666666666666288</v>
      </c>
      <c r="P460" s="119">
        <v>685</v>
      </c>
      <c r="Q460" s="119">
        <v>671</v>
      </c>
      <c r="R460" s="119">
        <v>688</v>
      </c>
      <c r="S460" s="120">
        <f t="shared" si="143"/>
        <v>2160</v>
      </c>
      <c r="T460" s="118">
        <f t="shared" si="144"/>
        <v>681.33333333333337</v>
      </c>
      <c r="U460" s="100">
        <f t="shared" ref="U460:U510" si="145">ROUND(((AVERAGE(P460,R460,Q460))/(N460*1.44))*100,0)</f>
        <v>32</v>
      </c>
      <c r="V460" s="104">
        <v>383</v>
      </c>
      <c r="W460" s="104">
        <v>2000</v>
      </c>
      <c r="X460" s="104" t="s">
        <v>41</v>
      </c>
      <c r="Y460" s="104" t="s">
        <v>42</v>
      </c>
      <c r="Z460" s="61">
        <f t="shared" si="141"/>
        <v>1153.5</v>
      </c>
      <c r="AA460" s="61">
        <f t="shared" si="142"/>
        <v>591.49535078477152</v>
      </c>
    </row>
    <row r="461" spans="1:27" s="49" customFormat="1" ht="16.5" customHeight="1" thickBot="1" x14ac:dyDescent="0.3">
      <c r="A461" s="98">
        <v>454</v>
      </c>
      <c r="B461" s="102" t="s">
        <v>35</v>
      </c>
      <c r="C461" s="103" t="s">
        <v>36</v>
      </c>
      <c r="D461" s="103" t="s">
        <v>37</v>
      </c>
      <c r="E461" s="103" t="s">
        <v>379</v>
      </c>
      <c r="F461" s="103" t="s">
        <v>389</v>
      </c>
      <c r="G461" s="99" t="s">
        <v>390</v>
      </c>
      <c r="H461" s="115" t="s">
        <v>23</v>
      </c>
      <c r="I461" s="107" t="s">
        <v>591</v>
      </c>
      <c r="J461" s="108">
        <v>2018</v>
      </c>
      <c r="K461" s="130" t="s">
        <v>28</v>
      </c>
      <c r="L461" s="117">
        <v>3</v>
      </c>
      <c r="M461" s="117">
        <v>2</v>
      </c>
      <c r="N461" s="117">
        <v>1500</v>
      </c>
      <c r="O461" s="118">
        <f t="shared" si="138"/>
        <v>6</v>
      </c>
      <c r="P461" s="119">
        <v>667</v>
      </c>
      <c r="Q461" s="119">
        <v>661</v>
      </c>
      <c r="R461" s="119">
        <v>655</v>
      </c>
      <c r="S461" s="120">
        <f t="shared" si="143"/>
        <v>2160</v>
      </c>
      <c r="T461" s="118">
        <f t="shared" si="144"/>
        <v>661</v>
      </c>
      <c r="U461" s="100">
        <f t="shared" si="145"/>
        <v>31</v>
      </c>
      <c r="V461" s="104">
        <v>383</v>
      </c>
      <c r="W461" s="104">
        <v>2000</v>
      </c>
      <c r="X461" s="104" t="s">
        <v>41</v>
      </c>
      <c r="Y461" s="104" t="s">
        <v>42</v>
      </c>
      <c r="Z461" s="61">
        <f t="shared" si="141"/>
        <v>1171.5</v>
      </c>
      <c r="AA461" s="61">
        <f t="shared" si="142"/>
        <v>565.51458867123847</v>
      </c>
    </row>
    <row r="462" spans="1:27" s="49" customFormat="1" ht="16.5" customHeight="1" thickBot="1" x14ac:dyDescent="0.3">
      <c r="A462" s="98">
        <v>455</v>
      </c>
      <c r="B462" s="102" t="s">
        <v>35</v>
      </c>
      <c r="C462" s="103" t="s">
        <v>36</v>
      </c>
      <c r="D462" s="103" t="s">
        <v>37</v>
      </c>
      <c r="E462" s="103" t="s">
        <v>379</v>
      </c>
      <c r="F462" s="103" t="s">
        <v>389</v>
      </c>
      <c r="G462" s="99" t="s">
        <v>391</v>
      </c>
      <c r="H462" s="115" t="s">
        <v>23</v>
      </c>
      <c r="I462" s="107" t="s">
        <v>591</v>
      </c>
      <c r="J462" s="108">
        <v>2018</v>
      </c>
      <c r="K462" s="130" t="s">
        <v>28</v>
      </c>
      <c r="L462" s="117">
        <v>3</v>
      </c>
      <c r="M462" s="117">
        <v>2</v>
      </c>
      <c r="N462" s="117">
        <v>1500</v>
      </c>
      <c r="O462" s="118">
        <f t="shared" si="138"/>
        <v>7.3333333333333712</v>
      </c>
      <c r="P462" s="119">
        <v>717</v>
      </c>
      <c r="Q462" s="119">
        <v>730</v>
      </c>
      <c r="R462" s="119">
        <v>721</v>
      </c>
      <c r="S462" s="120">
        <f t="shared" si="143"/>
        <v>2160</v>
      </c>
      <c r="T462" s="118">
        <f t="shared" si="144"/>
        <v>722.66666666666663</v>
      </c>
      <c r="U462" s="100">
        <f t="shared" si="145"/>
        <v>33</v>
      </c>
      <c r="V462" s="104">
        <v>380</v>
      </c>
      <c r="W462" s="104">
        <v>2000</v>
      </c>
      <c r="X462" s="104" t="s">
        <v>41</v>
      </c>
      <c r="Y462" s="104" t="s">
        <v>42</v>
      </c>
      <c r="Z462" s="61">
        <f t="shared" si="141"/>
        <v>1138.5</v>
      </c>
      <c r="AA462" s="61">
        <f t="shared" si="142"/>
        <v>622.67226532101142</v>
      </c>
    </row>
    <row r="463" spans="1:27" s="49" customFormat="1" ht="16.5" customHeight="1" thickBot="1" x14ac:dyDescent="0.3">
      <c r="A463" s="98">
        <v>456</v>
      </c>
      <c r="B463" s="102" t="s">
        <v>35</v>
      </c>
      <c r="C463" s="103" t="s">
        <v>36</v>
      </c>
      <c r="D463" s="103" t="s">
        <v>37</v>
      </c>
      <c r="E463" s="103" t="s">
        <v>379</v>
      </c>
      <c r="F463" s="103" t="s">
        <v>392</v>
      </c>
      <c r="G463" s="99" t="s">
        <v>333</v>
      </c>
      <c r="H463" s="115" t="s">
        <v>23</v>
      </c>
      <c r="I463" s="129" t="s">
        <v>593</v>
      </c>
      <c r="J463" s="108">
        <v>2018</v>
      </c>
      <c r="K463" s="130" t="s">
        <v>28</v>
      </c>
      <c r="L463" s="117">
        <v>3</v>
      </c>
      <c r="M463" s="117">
        <v>4</v>
      </c>
      <c r="N463" s="117">
        <v>1500</v>
      </c>
      <c r="O463" s="118">
        <f t="shared" si="138"/>
        <v>5.3333333333333712</v>
      </c>
      <c r="P463" s="119">
        <v>719</v>
      </c>
      <c r="Q463" s="119">
        <v>725</v>
      </c>
      <c r="R463" s="119">
        <v>715</v>
      </c>
      <c r="S463" s="120">
        <f t="shared" si="143"/>
        <v>2160</v>
      </c>
      <c r="T463" s="118">
        <f t="shared" si="144"/>
        <v>719.66666666666663</v>
      </c>
      <c r="U463" s="100">
        <f t="shared" si="145"/>
        <v>33</v>
      </c>
      <c r="V463" s="104">
        <v>383</v>
      </c>
      <c r="W463" s="104">
        <v>2000</v>
      </c>
      <c r="X463" s="104" t="s">
        <v>41</v>
      </c>
      <c r="Y463" s="104" t="s">
        <v>42</v>
      </c>
      <c r="Z463" s="61">
        <f t="shared" si="141"/>
        <v>1140.5</v>
      </c>
      <c r="AA463" s="61">
        <f t="shared" si="142"/>
        <v>615.74406209073584</v>
      </c>
    </row>
    <row r="464" spans="1:27" s="49" customFormat="1" ht="16.5" customHeight="1" thickBot="1" x14ac:dyDescent="0.3">
      <c r="A464" s="98">
        <v>457</v>
      </c>
      <c r="B464" s="102" t="s">
        <v>35</v>
      </c>
      <c r="C464" s="103" t="s">
        <v>36</v>
      </c>
      <c r="D464" s="103" t="s">
        <v>37</v>
      </c>
      <c r="E464" s="103" t="s">
        <v>379</v>
      </c>
      <c r="F464" s="103" t="s">
        <v>392</v>
      </c>
      <c r="G464" s="99" t="s">
        <v>334</v>
      </c>
      <c r="H464" s="115" t="s">
        <v>23</v>
      </c>
      <c r="I464" s="129" t="s">
        <v>573</v>
      </c>
      <c r="J464" s="108">
        <v>2018</v>
      </c>
      <c r="K464" s="130" t="s">
        <v>28</v>
      </c>
      <c r="L464" s="117">
        <v>3</v>
      </c>
      <c r="M464" s="117">
        <v>2</v>
      </c>
      <c r="N464" s="117">
        <v>1000</v>
      </c>
      <c r="O464" s="118">
        <f t="shared" si="138"/>
        <v>7.3333333333333144</v>
      </c>
      <c r="P464" s="119">
        <v>462</v>
      </c>
      <c r="Q464" s="119">
        <v>470</v>
      </c>
      <c r="R464" s="119">
        <v>456</v>
      </c>
      <c r="S464" s="120">
        <f t="shared" si="143"/>
        <v>1440</v>
      </c>
      <c r="T464" s="118">
        <f t="shared" si="144"/>
        <v>462.66666666666669</v>
      </c>
      <c r="U464" s="100">
        <f t="shared" si="145"/>
        <v>32</v>
      </c>
      <c r="V464" s="104">
        <v>382</v>
      </c>
      <c r="W464" s="104">
        <v>2000</v>
      </c>
      <c r="X464" s="104" t="s">
        <v>41</v>
      </c>
      <c r="Y464" s="104" t="s">
        <v>42</v>
      </c>
      <c r="Z464" s="61">
        <f t="shared" si="141"/>
        <v>771</v>
      </c>
      <c r="AA464" s="61">
        <f t="shared" si="142"/>
        <v>393.17553331813508</v>
      </c>
    </row>
    <row r="465" spans="1:27" s="49" customFormat="1" ht="16.5" customHeight="1" thickBot="1" x14ac:dyDescent="0.3">
      <c r="A465" s="98">
        <v>458</v>
      </c>
      <c r="B465" s="102" t="s">
        <v>35</v>
      </c>
      <c r="C465" s="103" t="s">
        <v>36</v>
      </c>
      <c r="D465" s="103" t="s">
        <v>37</v>
      </c>
      <c r="E465" s="103" t="s">
        <v>379</v>
      </c>
      <c r="F465" s="103" t="s">
        <v>393</v>
      </c>
      <c r="G465" s="99" t="s">
        <v>394</v>
      </c>
      <c r="H465" s="115" t="s">
        <v>23</v>
      </c>
      <c r="I465" s="107" t="s">
        <v>573</v>
      </c>
      <c r="J465" s="108">
        <v>2016</v>
      </c>
      <c r="K465" s="130" t="s">
        <v>28</v>
      </c>
      <c r="L465" s="117">
        <v>3</v>
      </c>
      <c r="M465" s="117">
        <v>2</v>
      </c>
      <c r="N465" s="117">
        <v>800</v>
      </c>
      <c r="O465" s="118">
        <f t="shared" si="138"/>
        <v>8.3333333333333144</v>
      </c>
      <c r="P465" s="119">
        <v>376</v>
      </c>
      <c r="Q465" s="119">
        <v>375</v>
      </c>
      <c r="R465" s="119">
        <v>388</v>
      </c>
      <c r="S465" s="120">
        <f t="shared" si="143"/>
        <v>1152</v>
      </c>
      <c r="T465" s="118">
        <f t="shared" si="144"/>
        <v>379.66666666666669</v>
      </c>
      <c r="U465" s="100">
        <f t="shared" si="145"/>
        <v>33</v>
      </c>
      <c r="V465" s="104">
        <v>381</v>
      </c>
      <c r="W465" s="104">
        <v>2000</v>
      </c>
      <c r="X465" s="104" t="s">
        <v>41</v>
      </c>
      <c r="Y465" s="104" t="s">
        <v>42</v>
      </c>
      <c r="Z465" s="61"/>
      <c r="AA465" s="61"/>
    </row>
    <row r="466" spans="1:27" s="49" customFormat="1" ht="16.5" customHeight="1" thickBot="1" x14ac:dyDescent="0.3">
      <c r="A466" s="98">
        <v>459</v>
      </c>
      <c r="B466" s="102" t="s">
        <v>35</v>
      </c>
      <c r="C466" s="103" t="s">
        <v>36</v>
      </c>
      <c r="D466" s="103" t="s">
        <v>37</v>
      </c>
      <c r="E466" s="103" t="s">
        <v>379</v>
      </c>
      <c r="F466" s="103" t="s">
        <v>393</v>
      </c>
      <c r="G466" s="99" t="s">
        <v>395</v>
      </c>
      <c r="H466" s="115" t="s">
        <v>23</v>
      </c>
      <c r="I466" s="107" t="s">
        <v>573</v>
      </c>
      <c r="J466" s="108">
        <v>2016</v>
      </c>
      <c r="K466" s="130" t="s">
        <v>28</v>
      </c>
      <c r="L466" s="117">
        <v>3</v>
      </c>
      <c r="M466" s="117">
        <v>2</v>
      </c>
      <c r="N466" s="117">
        <v>800</v>
      </c>
      <c r="O466" s="118">
        <f t="shared" si="138"/>
        <v>6.3333333333333144</v>
      </c>
      <c r="P466" s="119">
        <v>370</v>
      </c>
      <c r="Q466" s="119">
        <v>365</v>
      </c>
      <c r="R466" s="119">
        <v>377</v>
      </c>
      <c r="S466" s="120">
        <f t="shared" si="143"/>
        <v>1152</v>
      </c>
      <c r="T466" s="118">
        <f t="shared" si="144"/>
        <v>370.66666666666669</v>
      </c>
      <c r="U466" s="100">
        <f t="shared" si="145"/>
        <v>32</v>
      </c>
      <c r="V466" s="104">
        <v>383</v>
      </c>
      <c r="W466" s="104">
        <v>2000</v>
      </c>
      <c r="X466" s="104" t="s">
        <v>41</v>
      </c>
      <c r="Y466" s="104" t="s">
        <v>42</v>
      </c>
      <c r="Z466" s="61"/>
      <c r="AA466" s="61"/>
    </row>
    <row r="467" spans="1:27" s="49" customFormat="1" ht="16.5" customHeight="1" thickBot="1" x14ac:dyDescent="0.3">
      <c r="A467" s="98">
        <v>460</v>
      </c>
      <c r="B467" s="102" t="s">
        <v>35</v>
      </c>
      <c r="C467" s="103" t="s">
        <v>36</v>
      </c>
      <c r="D467" s="103" t="s">
        <v>37</v>
      </c>
      <c r="E467" s="103" t="s">
        <v>379</v>
      </c>
      <c r="F467" s="103" t="s">
        <v>393</v>
      </c>
      <c r="G467" s="99" t="s">
        <v>396</v>
      </c>
      <c r="H467" s="115" t="s">
        <v>23</v>
      </c>
      <c r="I467" s="107" t="s">
        <v>573</v>
      </c>
      <c r="J467" s="108">
        <v>2016</v>
      </c>
      <c r="K467" s="130" t="s">
        <v>28</v>
      </c>
      <c r="L467" s="117">
        <v>3</v>
      </c>
      <c r="M467" s="117">
        <v>2</v>
      </c>
      <c r="N467" s="117">
        <v>800</v>
      </c>
      <c r="O467" s="118">
        <f t="shared" si="138"/>
        <v>5.3333333333333144</v>
      </c>
      <c r="P467" s="119">
        <v>366</v>
      </c>
      <c r="Q467" s="119">
        <v>355</v>
      </c>
      <c r="R467" s="119">
        <v>361</v>
      </c>
      <c r="S467" s="120">
        <f t="shared" si="143"/>
        <v>1152</v>
      </c>
      <c r="T467" s="118">
        <f t="shared" si="144"/>
        <v>360.66666666666669</v>
      </c>
      <c r="U467" s="100">
        <f t="shared" si="145"/>
        <v>31</v>
      </c>
      <c r="V467" s="104">
        <v>381</v>
      </c>
      <c r="W467" s="104">
        <v>2000</v>
      </c>
      <c r="X467" s="104" t="s">
        <v>41</v>
      </c>
      <c r="Y467" s="104" t="s">
        <v>42</v>
      </c>
      <c r="Z467" s="61"/>
      <c r="AA467" s="61"/>
    </row>
    <row r="468" spans="1:27" s="49" customFormat="1" ht="16.5" customHeight="1" thickBot="1" x14ac:dyDescent="0.25">
      <c r="A468" s="98">
        <v>461</v>
      </c>
      <c r="B468" s="102" t="s">
        <v>35</v>
      </c>
      <c r="C468" s="103" t="s">
        <v>36</v>
      </c>
      <c r="D468" s="103" t="s">
        <v>37</v>
      </c>
      <c r="E468" s="103" t="s">
        <v>379</v>
      </c>
      <c r="F468" s="103" t="s">
        <v>554</v>
      </c>
      <c r="G468" s="99" t="s">
        <v>152</v>
      </c>
      <c r="H468" s="115" t="s">
        <v>23</v>
      </c>
      <c r="I468" s="107"/>
      <c r="J468" s="108"/>
      <c r="K468" s="116" t="s">
        <v>28</v>
      </c>
      <c r="L468" s="103">
        <v>3</v>
      </c>
      <c r="M468" s="103"/>
      <c r="N468" s="117">
        <v>500</v>
      </c>
      <c r="O468" s="118">
        <f t="shared" si="138"/>
        <v>6.3333333333333428</v>
      </c>
      <c r="P468" s="117">
        <v>246</v>
      </c>
      <c r="Q468" s="117">
        <v>241</v>
      </c>
      <c r="R468" s="117">
        <v>232</v>
      </c>
      <c r="S468" s="120">
        <f t="shared" si="143"/>
        <v>720</v>
      </c>
      <c r="T468" s="118">
        <f t="shared" si="144"/>
        <v>239.66666666666666</v>
      </c>
      <c r="U468" s="100">
        <f t="shared" si="145"/>
        <v>33</v>
      </c>
      <c r="V468" s="104">
        <v>381</v>
      </c>
      <c r="W468" s="104">
        <v>2000</v>
      </c>
      <c r="X468" s="104" t="s">
        <v>41</v>
      </c>
      <c r="Y468" s="104" t="s">
        <v>42</v>
      </c>
      <c r="Z468" s="1"/>
      <c r="AA468" s="1"/>
    </row>
    <row r="469" spans="1:27" s="49" customFormat="1" ht="16.5" customHeight="1" thickBot="1" x14ac:dyDescent="0.25">
      <c r="A469" s="98">
        <v>462</v>
      </c>
      <c r="B469" s="102" t="s">
        <v>35</v>
      </c>
      <c r="C469" s="103" t="s">
        <v>36</v>
      </c>
      <c r="D469" s="103" t="s">
        <v>37</v>
      </c>
      <c r="E469" s="103" t="s">
        <v>379</v>
      </c>
      <c r="F469" s="103" t="s">
        <v>554</v>
      </c>
      <c r="G469" s="99" t="s">
        <v>148</v>
      </c>
      <c r="H469" s="115" t="s">
        <v>23</v>
      </c>
      <c r="I469" s="107"/>
      <c r="J469" s="108"/>
      <c r="K469" s="116" t="s">
        <v>28</v>
      </c>
      <c r="L469" s="103">
        <v>3</v>
      </c>
      <c r="M469" s="103">
        <v>4</v>
      </c>
      <c r="N469" s="117">
        <v>1000</v>
      </c>
      <c r="O469" s="118">
        <f t="shared" si="138"/>
        <v>5.6666666666666288</v>
      </c>
      <c r="P469" s="117">
        <v>630</v>
      </c>
      <c r="Q469" s="117">
        <v>625</v>
      </c>
      <c r="R469" s="117">
        <v>618</v>
      </c>
      <c r="S469" s="120">
        <f t="shared" si="143"/>
        <v>1440</v>
      </c>
      <c r="T469" s="118">
        <f t="shared" si="144"/>
        <v>624.33333333333337</v>
      </c>
      <c r="U469" s="100">
        <f t="shared" si="145"/>
        <v>43</v>
      </c>
      <c r="V469" s="104">
        <v>381</v>
      </c>
      <c r="W469" s="104">
        <v>2000</v>
      </c>
      <c r="X469" s="104" t="s">
        <v>41</v>
      </c>
      <c r="Y469" s="104" t="s">
        <v>42</v>
      </c>
      <c r="Z469" s="1"/>
      <c r="AA469" s="1"/>
    </row>
    <row r="470" spans="1:27" s="49" customFormat="1" ht="16.5" customHeight="1" thickBot="1" x14ac:dyDescent="0.25">
      <c r="A470" s="84">
        <v>463</v>
      </c>
      <c r="B470" s="52" t="s">
        <v>35</v>
      </c>
      <c r="C470" s="41" t="s">
        <v>36</v>
      </c>
      <c r="D470" s="41" t="s">
        <v>37</v>
      </c>
      <c r="E470" s="41" t="s">
        <v>379</v>
      </c>
      <c r="F470" s="41" t="s">
        <v>554</v>
      </c>
      <c r="G470" s="42" t="s">
        <v>149</v>
      </c>
      <c r="H470" s="46" t="s">
        <v>23</v>
      </c>
      <c r="I470" s="62"/>
      <c r="J470" s="70"/>
      <c r="K470" s="66" t="s">
        <v>28</v>
      </c>
      <c r="L470" s="41">
        <v>3</v>
      </c>
      <c r="M470" s="41">
        <v>8</v>
      </c>
      <c r="N470" s="47">
        <v>1000</v>
      </c>
      <c r="O470" s="43">
        <f t="shared" si="138"/>
        <v>5.3333333333333712</v>
      </c>
      <c r="P470" s="47">
        <v>657</v>
      </c>
      <c r="Q470" s="47">
        <v>653</v>
      </c>
      <c r="R470" s="47">
        <v>645</v>
      </c>
      <c r="S470" s="48">
        <f t="shared" si="143"/>
        <v>1440</v>
      </c>
      <c r="T470" s="43">
        <f t="shared" si="144"/>
        <v>651.66666666666663</v>
      </c>
      <c r="U470" s="44">
        <f t="shared" si="145"/>
        <v>45</v>
      </c>
      <c r="V470" s="45">
        <v>381</v>
      </c>
      <c r="W470" s="45">
        <v>2000</v>
      </c>
      <c r="X470" s="45" t="s">
        <v>41</v>
      </c>
      <c r="Y470" s="45" t="s">
        <v>42</v>
      </c>
      <c r="Z470" s="1"/>
      <c r="AA470" s="1"/>
    </row>
    <row r="471" spans="1:27" s="49" customFormat="1" ht="16.5" customHeight="1" thickBot="1" x14ac:dyDescent="0.25">
      <c r="A471" s="84">
        <v>464</v>
      </c>
      <c r="B471" s="52" t="s">
        <v>35</v>
      </c>
      <c r="C471" s="41" t="s">
        <v>36</v>
      </c>
      <c r="D471" s="41" t="s">
        <v>37</v>
      </c>
      <c r="E471" s="41" t="s">
        <v>379</v>
      </c>
      <c r="F471" s="41" t="s">
        <v>554</v>
      </c>
      <c r="G471" s="42" t="s">
        <v>579</v>
      </c>
      <c r="H471" s="46" t="s">
        <v>23</v>
      </c>
      <c r="I471" s="62"/>
      <c r="J471" s="70"/>
      <c r="K471" s="66" t="s">
        <v>28</v>
      </c>
      <c r="L471" s="41">
        <v>3</v>
      </c>
      <c r="M471" s="41"/>
      <c r="N471" s="47">
        <v>800</v>
      </c>
      <c r="O471" s="43">
        <f t="shared" si="138"/>
        <v>6.3333333333333144</v>
      </c>
      <c r="P471" s="47">
        <v>438</v>
      </c>
      <c r="Q471" s="47">
        <v>440</v>
      </c>
      <c r="R471" s="47">
        <v>423</v>
      </c>
      <c r="S471" s="48">
        <f t="shared" si="143"/>
        <v>1152</v>
      </c>
      <c r="T471" s="43">
        <f t="shared" si="144"/>
        <v>433.66666666666669</v>
      </c>
      <c r="U471" s="44">
        <f t="shared" si="145"/>
        <v>38</v>
      </c>
      <c r="V471" s="45">
        <v>381</v>
      </c>
      <c r="W471" s="45">
        <v>2000</v>
      </c>
      <c r="X471" s="45" t="s">
        <v>41</v>
      </c>
      <c r="Y471" s="45" t="s">
        <v>42</v>
      </c>
      <c r="Z471" s="1"/>
      <c r="AA471" s="1"/>
    </row>
    <row r="472" spans="1:27" s="49" customFormat="1" ht="16.5" customHeight="1" thickBot="1" x14ac:dyDescent="0.25">
      <c r="A472" s="98">
        <v>465</v>
      </c>
      <c r="B472" s="102" t="s">
        <v>35</v>
      </c>
      <c r="C472" s="103" t="s">
        <v>36</v>
      </c>
      <c r="D472" s="103" t="s">
        <v>37</v>
      </c>
      <c r="E472" s="103" t="s">
        <v>379</v>
      </c>
      <c r="F472" s="103" t="s">
        <v>554</v>
      </c>
      <c r="G472" s="99" t="s">
        <v>150</v>
      </c>
      <c r="H472" s="115" t="s">
        <v>23</v>
      </c>
      <c r="I472" s="107"/>
      <c r="J472" s="108"/>
      <c r="K472" s="116" t="s">
        <v>28</v>
      </c>
      <c r="L472" s="103">
        <v>3</v>
      </c>
      <c r="M472" s="103">
        <v>4</v>
      </c>
      <c r="N472" s="117">
        <v>1000</v>
      </c>
      <c r="O472" s="118">
        <f t="shared" si="138"/>
        <v>7</v>
      </c>
      <c r="P472" s="117">
        <v>646</v>
      </c>
      <c r="Q472" s="117">
        <v>655</v>
      </c>
      <c r="R472" s="117">
        <v>643</v>
      </c>
      <c r="S472" s="120">
        <f t="shared" si="143"/>
        <v>1440</v>
      </c>
      <c r="T472" s="118">
        <f t="shared" si="144"/>
        <v>648</v>
      </c>
      <c r="U472" s="100">
        <f t="shared" si="145"/>
        <v>45</v>
      </c>
      <c r="V472" s="104">
        <v>381</v>
      </c>
      <c r="W472" s="104">
        <v>2000</v>
      </c>
      <c r="X472" s="104" t="s">
        <v>41</v>
      </c>
      <c r="Y472" s="104" t="s">
        <v>42</v>
      </c>
      <c r="Z472" s="1"/>
      <c r="AA472" s="1"/>
    </row>
    <row r="473" spans="1:27" s="49" customFormat="1" ht="16.5" customHeight="1" thickBot="1" x14ac:dyDescent="0.25">
      <c r="A473" s="98">
        <v>466</v>
      </c>
      <c r="B473" s="102" t="s">
        <v>35</v>
      </c>
      <c r="C473" s="103" t="s">
        <v>36</v>
      </c>
      <c r="D473" s="103" t="s">
        <v>37</v>
      </c>
      <c r="E473" s="103" t="s">
        <v>379</v>
      </c>
      <c r="F473" s="103" t="s">
        <v>554</v>
      </c>
      <c r="G473" s="99" t="s">
        <v>151</v>
      </c>
      <c r="H473" s="115" t="s">
        <v>23</v>
      </c>
      <c r="I473" s="107"/>
      <c r="J473" s="108"/>
      <c r="K473" s="116" t="s">
        <v>28</v>
      </c>
      <c r="L473" s="103">
        <v>3</v>
      </c>
      <c r="M473" s="103">
        <v>4</v>
      </c>
      <c r="N473" s="117">
        <v>1000</v>
      </c>
      <c r="O473" s="118">
        <f t="shared" si="138"/>
        <v>7</v>
      </c>
      <c r="P473" s="117">
        <v>680</v>
      </c>
      <c r="Q473" s="117">
        <v>671</v>
      </c>
      <c r="R473" s="117">
        <v>668</v>
      </c>
      <c r="S473" s="120">
        <f t="shared" si="143"/>
        <v>1440</v>
      </c>
      <c r="T473" s="118">
        <f t="shared" si="144"/>
        <v>673</v>
      </c>
      <c r="U473" s="100">
        <f t="shared" si="145"/>
        <v>47</v>
      </c>
      <c r="V473" s="104">
        <v>381</v>
      </c>
      <c r="W473" s="104">
        <v>2000</v>
      </c>
      <c r="X473" s="104" t="s">
        <v>41</v>
      </c>
      <c r="Y473" s="104" t="s">
        <v>42</v>
      </c>
      <c r="Z473" s="1"/>
      <c r="AA473" s="1"/>
    </row>
    <row r="474" spans="1:27" s="49" customFormat="1" ht="16.5" customHeight="1" thickBot="1" x14ac:dyDescent="0.25">
      <c r="A474" s="84">
        <v>467</v>
      </c>
      <c r="B474" s="52" t="s">
        <v>35</v>
      </c>
      <c r="C474" s="41" t="s">
        <v>36</v>
      </c>
      <c r="D474" s="41" t="s">
        <v>37</v>
      </c>
      <c r="E474" s="41" t="s">
        <v>379</v>
      </c>
      <c r="F474" s="41" t="s">
        <v>555</v>
      </c>
      <c r="G474" s="42" t="s">
        <v>182</v>
      </c>
      <c r="H474" s="46" t="s">
        <v>23</v>
      </c>
      <c r="I474" s="62"/>
      <c r="J474" s="70"/>
      <c r="K474" s="66" t="s">
        <v>28</v>
      </c>
      <c r="L474" s="41">
        <v>3</v>
      </c>
      <c r="M474" s="41"/>
      <c r="N474" s="47">
        <v>1000</v>
      </c>
      <c r="O474" s="43" t="e">
        <f t="shared" si="138"/>
        <v>#DIV/0!</v>
      </c>
      <c r="P474" s="135" t="s">
        <v>120</v>
      </c>
      <c r="Q474" s="136"/>
      <c r="R474" s="136"/>
      <c r="S474" s="136"/>
      <c r="T474" s="137"/>
      <c r="U474" s="44" t="e">
        <f t="shared" si="145"/>
        <v>#DIV/0!</v>
      </c>
      <c r="V474" s="45">
        <v>383</v>
      </c>
      <c r="W474" s="45">
        <v>2000</v>
      </c>
      <c r="X474" s="45" t="s">
        <v>41</v>
      </c>
      <c r="Y474" s="45" t="s">
        <v>42</v>
      </c>
      <c r="Z474" s="1"/>
      <c r="AA474" s="1"/>
    </row>
    <row r="475" spans="1:27" s="49" customFormat="1" ht="16.5" customHeight="1" thickBot="1" x14ac:dyDescent="0.25">
      <c r="A475" s="84">
        <v>468</v>
      </c>
      <c r="B475" s="52" t="s">
        <v>35</v>
      </c>
      <c r="C475" s="41" t="s">
        <v>36</v>
      </c>
      <c r="D475" s="41" t="s">
        <v>37</v>
      </c>
      <c r="E475" s="41" t="s">
        <v>512</v>
      </c>
      <c r="F475" s="41" t="s">
        <v>565</v>
      </c>
      <c r="G475" s="41" t="s">
        <v>513</v>
      </c>
      <c r="H475" s="46" t="s">
        <v>26</v>
      </c>
      <c r="I475" s="62"/>
      <c r="J475" s="70"/>
      <c r="K475" s="67" t="s">
        <v>28</v>
      </c>
      <c r="L475" s="41">
        <v>3</v>
      </c>
      <c r="M475" s="47"/>
      <c r="N475" s="47">
        <v>1000</v>
      </c>
      <c r="O475" s="43" t="e">
        <f t="shared" si="138"/>
        <v>#DIV/0!</v>
      </c>
      <c r="P475" s="45"/>
      <c r="Q475" s="45"/>
      <c r="R475" s="45"/>
      <c r="S475" s="48">
        <f>1.44*N475</f>
        <v>1440</v>
      </c>
      <c r="T475" s="43">
        <f>(P475+Q475+R475)/3</f>
        <v>0</v>
      </c>
      <c r="U475" s="44" t="e">
        <f t="shared" si="145"/>
        <v>#DIV/0!</v>
      </c>
      <c r="V475" s="45">
        <v>381</v>
      </c>
      <c r="W475" s="45">
        <v>3225</v>
      </c>
      <c r="X475" s="45" t="s">
        <v>139</v>
      </c>
      <c r="Y475" s="45" t="s">
        <v>42</v>
      </c>
      <c r="Z475" s="1"/>
      <c r="AA475" s="1"/>
    </row>
    <row r="476" spans="1:27" s="49" customFormat="1" ht="16.5" customHeight="1" thickBot="1" x14ac:dyDescent="0.25">
      <c r="A476" s="84">
        <v>469</v>
      </c>
      <c r="B476" s="52" t="s">
        <v>35</v>
      </c>
      <c r="C476" s="41" t="s">
        <v>36</v>
      </c>
      <c r="D476" s="41" t="s">
        <v>37</v>
      </c>
      <c r="E476" s="41" t="s">
        <v>512</v>
      </c>
      <c r="F476" s="41" t="s">
        <v>565</v>
      </c>
      <c r="G476" s="41" t="s">
        <v>514</v>
      </c>
      <c r="H476" s="46" t="s">
        <v>26</v>
      </c>
      <c r="I476" s="62"/>
      <c r="J476" s="70"/>
      <c r="K476" s="67" t="s">
        <v>28</v>
      </c>
      <c r="L476" s="41">
        <v>3</v>
      </c>
      <c r="M476" s="47"/>
      <c r="N476" s="47">
        <v>2000</v>
      </c>
      <c r="O476" s="43" t="e">
        <f t="shared" si="138"/>
        <v>#DIV/0!</v>
      </c>
      <c r="P476" s="45"/>
      <c r="Q476" s="45"/>
      <c r="R476" s="45"/>
      <c r="S476" s="48">
        <f t="shared" ref="S476:S510" si="146">1.44*N476</f>
        <v>2880</v>
      </c>
      <c r="T476" s="43">
        <f t="shared" ref="T476:T510" si="147">(P476+Q476+R476)/3</f>
        <v>0</v>
      </c>
      <c r="U476" s="44" t="e">
        <f t="shared" si="145"/>
        <v>#DIV/0!</v>
      </c>
      <c r="V476" s="45">
        <v>382</v>
      </c>
      <c r="W476" s="45">
        <v>3225</v>
      </c>
      <c r="X476" s="45" t="s">
        <v>139</v>
      </c>
      <c r="Y476" s="45" t="s">
        <v>42</v>
      </c>
      <c r="Z476" s="1"/>
      <c r="AA476" s="1"/>
    </row>
    <row r="477" spans="1:27" s="49" customFormat="1" ht="16.5" customHeight="1" thickBot="1" x14ac:dyDescent="0.25">
      <c r="A477" s="84">
        <v>470</v>
      </c>
      <c r="B477" s="52" t="s">
        <v>35</v>
      </c>
      <c r="C477" s="41" t="s">
        <v>36</v>
      </c>
      <c r="D477" s="41" t="s">
        <v>37</v>
      </c>
      <c r="E477" s="41" t="s">
        <v>512</v>
      </c>
      <c r="F477" s="41" t="s">
        <v>565</v>
      </c>
      <c r="G477" s="41" t="s">
        <v>515</v>
      </c>
      <c r="H477" s="46" t="s">
        <v>26</v>
      </c>
      <c r="I477" s="62"/>
      <c r="J477" s="70"/>
      <c r="K477" s="67" t="s">
        <v>28</v>
      </c>
      <c r="L477" s="41">
        <v>3</v>
      </c>
      <c r="M477" s="47"/>
      <c r="N477" s="47">
        <v>1500</v>
      </c>
      <c r="O477" s="43" t="e">
        <f t="shared" si="138"/>
        <v>#DIV/0!</v>
      </c>
      <c r="P477" s="45"/>
      <c r="Q477" s="45"/>
      <c r="R477" s="45"/>
      <c r="S477" s="48">
        <f t="shared" si="146"/>
        <v>2160</v>
      </c>
      <c r="T477" s="43">
        <f t="shared" si="147"/>
        <v>0</v>
      </c>
      <c r="U477" s="44" t="e">
        <f t="shared" si="145"/>
        <v>#DIV/0!</v>
      </c>
      <c r="V477" s="45">
        <v>381</v>
      </c>
      <c r="W477" s="45">
        <v>3225</v>
      </c>
      <c r="X477" s="45" t="s">
        <v>139</v>
      </c>
      <c r="Y477" s="45" t="s">
        <v>42</v>
      </c>
      <c r="Z477" s="1"/>
      <c r="AA477" s="1"/>
    </row>
    <row r="478" spans="1:27" s="49" customFormat="1" ht="16.5" customHeight="1" thickBot="1" x14ac:dyDescent="0.25">
      <c r="A478" s="84">
        <v>471</v>
      </c>
      <c r="B478" s="52" t="s">
        <v>35</v>
      </c>
      <c r="C478" s="41" t="s">
        <v>36</v>
      </c>
      <c r="D478" s="41" t="s">
        <v>37</v>
      </c>
      <c r="E478" s="41" t="s">
        <v>512</v>
      </c>
      <c r="F478" s="41" t="s">
        <v>565</v>
      </c>
      <c r="G478" s="41" t="s">
        <v>516</v>
      </c>
      <c r="H478" s="46" t="s">
        <v>26</v>
      </c>
      <c r="I478" s="62"/>
      <c r="J478" s="70"/>
      <c r="K478" s="67" t="s">
        <v>28</v>
      </c>
      <c r="L478" s="41">
        <v>3</v>
      </c>
      <c r="M478" s="47"/>
      <c r="N478" s="47">
        <v>1500</v>
      </c>
      <c r="O478" s="43" t="e">
        <f t="shared" si="138"/>
        <v>#DIV/0!</v>
      </c>
      <c r="P478" s="45"/>
      <c r="Q478" s="45"/>
      <c r="R478" s="45"/>
      <c r="S478" s="48">
        <f t="shared" si="146"/>
        <v>2160</v>
      </c>
      <c r="T478" s="43">
        <f t="shared" si="147"/>
        <v>0</v>
      </c>
      <c r="U478" s="44" t="e">
        <f t="shared" si="145"/>
        <v>#DIV/0!</v>
      </c>
      <c r="V478" s="45">
        <v>381</v>
      </c>
      <c r="W478" s="45">
        <v>3225</v>
      </c>
      <c r="X478" s="45" t="s">
        <v>139</v>
      </c>
      <c r="Y478" s="45" t="s">
        <v>42</v>
      </c>
      <c r="Z478" s="1"/>
      <c r="AA478" s="1"/>
    </row>
    <row r="479" spans="1:27" s="49" customFormat="1" ht="16.5" customHeight="1" thickBot="1" x14ac:dyDescent="0.25">
      <c r="A479" s="84">
        <v>472</v>
      </c>
      <c r="B479" s="52" t="s">
        <v>35</v>
      </c>
      <c r="C479" s="41" t="s">
        <v>36</v>
      </c>
      <c r="D479" s="41" t="s">
        <v>37</v>
      </c>
      <c r="E479" s="41" t="s">
        <v>512</v>
      </c>
      <c r="F479" s="41" t="s">
        <v>565</v>
      </c>
      <c r="G479" s="41" t="s">
        <v>517</v>
      </c>
      <c r="H479" s="46" t="s">
        <v>26</v>
      </c>
      <c r="I479" s="62"/>
      <c r="J479" s="70"/>
      <c r="K479" s="67" t="s">
        <v>28</v>
      </c>
      <c r="L479" s="41">
        <v>3</v>
      </c>
      <c r="M479" s="47"/>
      <c r="N479" s="47">
        <v>500</v>
      </c>
      <c r="O479" s="43" t="e">
        <f t="shared" si="138"/>
        <v>#DIV/0!</v>
      </c>
      <c r="P479" s="45"/>
      <c r="Q479" s="45"/>
      <c r="R479" s="45"/>
      <c r="S479" s="48">
        <f t="shared" si="146"/>
        <v>720</v>
      </c>
      <c r="T479" s="43">
        <f t="shared" si="147"/>
        <v>0</v>
      </c>
      <c r="U479" s="44" t="e">
        <f t="shared" si="145"/>
        <v>#DIV/0!</v>
      </c>
      <c r="V479" s="45">
        <v>383</v>
      </c>
      <c r="W479" s="45">
        <v>3225</v>
      </c>
      <c r="X479" s="45" t="s">
        <v>139</v>
      </c>
      <c r="Y479" s="45" t="s">
        <v>42</v>
      </c>
      <c r="Z479" s="1"/>
      <c r="AA479" s="1"/>
    </row>
    <row r="480" spans="1:27" s="49" customFormat="1" ht="16.5" customHeight="1" thickBot="1" x14ac:dyDescent="0.25">
      <c r="A480" s="84">
        <v>473</v>
      </c>
      <c r="B480" s="52" t="s">
        <v>35</v>
      </c>
      <c r="C480" s="41" t="s">
        <v>36</v>
      </c>
      <c r="D480" s="41" t="s">
        <v>37</v>
      </c>
      <c r="E480" s="41" t="s">
        <v>512</v>
      </c>
      <c r="F480" s="41" t="s">
        <v>565</v>
      </c>
      <c r="G480" s="41" t="s">
        <v>518</v>
      </c>
      <c r="H480" s="46" t="s">
        <v>26</v>
      </c>
      <c r="I480" s="62"/>
      <c r="J480" s="70"/>
      <c r="K480" s="67" t="s">
        <v>28</v>
      </c>
      <c r="L480" s="41">
        <v>3</v>
      </c>
      <c r="M480" s="47"/>
      <c r="N480" s="47">
        <v>800</v>
      </c>
      <c r="O480" s="43" t="e">
        <f t="shared" si="138"/>
        <v>#DIV/0!</v>
      </c>
      <c r="P480" s="45"/>
      <c r="Q480" s="45"/>
      <c r="R480" s="45"/>
      <c r="S480" s="48">
        <f t="shared" si="146"/>
        <v>1152</v>
      </c>
      <c r="T480" s="43">
        <f t="shared" si="147"/>
        <v>0</v>
      </c>
      <c r="U480" s="44" t="e">
        <f t="shared" si="145"/>
        <v>#DIV/0!</v>
      </c>
      <c r="V480" s="45">
        <v>381</v>
      </c>
      <c r="W480" s="45">
        <v>3225</v>
      </c>
      <c r="X480" s="45" t="s">
        <v>139</v>
      </c>
      <c r="Y480" s="45" t="s">
        <v>42</v>
      </c>
      <c r="Z480" s="1"/>
      <c r="AA480" s="1"/>
    </row>
    <row r="481" spans="1:27" s="49" customFormat="1" ht="16.5" customHeight="1" thickBot="1" x14ac:dyDescent="0.25">
      <c r="A481" s="84">
        <v>474</v>
      </c>
      <c r="B481" s="52" t="s">
        <v>35</v>
      </c>
      <c r="C481" s="41" t="s">
        <v>36</v>
      </c>
      <c r="D481" s="41" t="s">
        <v>37</v>
      </c>
      <c r="E481" s="41" t="s">
        <v>512</v>
      </c>
      <c r="F481" s="41" t="s">
        <v>565</v>
      </c>
      <c r="G481" s="41" t="s">
        <v>519</v>
      </c>
      <c r="H481" s="46" t="s">
        <v>26</v>
      </c>
      <c r="I481" s="62"/>
      <c r="J481" s="70"/>
      <c r="K481" s="67" t="s">
        <v>28</v>
      </c>
      <c r="L481" s="41">
        <v>3</v>
      </c>
      <c r="M481" s="47"/>
      <c r="N481" s="47">
        <v>1000</v>
      </c>
      <c r="O481" s="43" t="e">
        <f t="shared" si="138"/>
        <v>#DIV/0!</v>
      </c>
      <c r="P481" s="45"/>
      <c r="Q481" s="45"/>
      <c r="R481" s="45"/>
      <c r="S481" s="48">
        <f t="shared" si="146"/>
        <v>1440</v>
      </c>
      <c r="T481" s="43">
        <f t="shared" si="147"/>
        <v>0</v>
      </c>
      <c r="U481" s="44" t="e">
        <f t="shared" si="145"/>
        <v>#DIV/0!</v>
      </c>
      <c r="V481" s="45">
        <v>382</v>
      </c>
      <c r="W481" s="45">
        <v>3225</v>
      </c>
      <c r="X481" s="45" t="s">
        <v>139</v>
      </c>
      <c r="Y481" s="45" t="s">
        <v>42</v>
      </c>
      <c r="Z481" s="1"/>
      <c r="AA481" s="1"/>
    </row>
    <row r="482" spans="1:27" s="49" customFormat="1" ht="16.5" customHeight="1" thickBot="1" x14ac:dyDescent="0.25">
      <c r="A482" s="84">
        <v>475</v>
      </c>
      <c r="B482" s="52" t="s">
        <v>35</v>
      </c>
      <c r="C482" s="41" t="s">
        <v>36</v>
      </c>
      <c r="D482" s="41" t="s">
        <v>37</v>
      </c>
      <c r="E482" s="41" t="s">
        <v>512</v>
      </c>
      <c r="F482" s="41" t="s">
        <v>565</v>
      </c>
      <c r="G482" s="41" t="s">
        <v>520</v>
      </c>
      <c r="H482" s="46" t="s">
        <v>26</v>
      </c>
      <c r="I482" s="62"/>
      <c r="J482" s="70"/>
      <c r="K482" s="67" t="s">
        <v>28</v>
      </c>
      <c r="L482" s="41">
        <v>3</v>
      </c>
      <c r="M482" s="47"/>
      <c r="N482" s="47">
        <v>1000</v>
      </c>
      <c r="O482" s="43" t="e">
        <f t="shared" si="138"/>
        <v>#DIV/0!</v>
      </c>
      <c r="P482" s="45"/>
      <c r="Q482" s="45"/>
      <c r="R482" s="45"/>
      <c r="S482" s="48">
        <f t="shared" si="146"/>
        <v>1440</v>
      </c>
      <c r="T482" s="43">
        <f t="shared" si="147"/>
        <v>0</v>
      </c>
      <c r="U482" s="44" t="e">
        <f t="shared" si="145"/>
        <v>#DIV/0!</v>
      </c>
      <c r="V482" s="45">
        <v>382</v>
      </c>
      <c r="W482" s="45">
        <v>3225</v>
      </c>
      <c r="X482" s="45" t="s">
        <v>139</v>
      </c>
      <c r="Y482" s="45" t="s">
        <v>42</v>
      </c>
      <c r="Z482" s="1"/>
      <c r="AA482" s="1"/>
    </row>
    <row r="483" spans="1:27" s="49" customFormat="1" ht="16.5" customHeight="1" thickBot="1" x14ac:dyDescent="0.25">
      <c r="A483" s="84">
        <v>476</v>
      </c>
      <c r="B483" s="52" t="s">
        <v>35</v>
      </c>
      <c r="C483" s="41" t="s">
        <v>36</v>
      </c>
      <c r="D483" s="41" t="s">
        <v>37</v>
      </c>
      <c r="E483" s="41" t="s">
        <v>512</v>
      </c>
      <c r="F483" s="41" t="s">
        <v>565</v>
      </c>
      <c r="G483" s="41" t="s">
        <v>521</v>
      </c>
      <c r="H483" s="46" t="s">
        <v>26</v>
      </c>
      <c r="I483" s="62"/>
      <c r="J483" s="70"/>
      <c r="K483" s="67" t="s">
        <v>28</v>
      </c>
      <c r="L483" s="41">
        <v>3</v>
      </c>
      <c r="M483" s="47"/>
      <c r="N483" s="47">
        <v>1500</v>
      </c>
      <c r="O483" s="43" t="e">
        <f t="shared" si="138"/>
        <v>#DIV/0!</v>
      </c>
      <c r="P483" s="45"/>
      <c r="Q483" s="45"/>
      <c r="R483" s="45"/>
      <c r="S483" s="48">
        <f t="shared" si="146"/>
        <v>2160</v>
      </c>
      <c r="T483" s="43">
        <f t="shared" si="147"/>
        <v>0</v>
      </c>
      <c r="U483" s="44" t="e">
        <f t="shared" si="145"/>
        <v>#DIV/0!</v>
      </c>
      <c r="V483" s="45">
        <v>382</v>
      </c>
      <c r="W483" s="45">
        <v>3225</v>
      </c>
      <c r="X483" s="45" t="s">
        <v>139</v>
      </c>
      <c r="Y483" s="45" t="s">
        <v>42</v>
      </c>
      <c r="Z483" s="1"/>
      <c r="AA483" s="1"/>
    </row>
    <row r="484" spans="1:27" s="49" customFormat="1" ht="16.5" customHeight="1" thickBot="1" x14ac:dyDescent="0.25">
      <c r="A484" s="84">
        <v>477</v>
      </c>
      <c r="B484" s="52" t="s">
        <v>35</v>
      </c>
      <c r="C484" s="41" t="s">
        <v>36</v>
      </c>
      <c r="D484" s="41" t="s">
        <v>37</v>
      </c>
      <c r="E484" s="41" t="s">
        <v>512</v>
      </c>
      <c r="F484" s="41" t="s">
        <v>565</v>
      </c>
      <c r="G484" s="41" t="s">
        <v>522</v>
      </c>
      <c r="H484" s="46" t="s">
        <v>26</v>
      </c>
      <c r="I484" s="62"/>
      <c r="J484" s="70"/>
      <c r="K484" s="67" t="s">
        <v>28</v>
      </c>
      <c r="L484" s="41">
        <v>3</v>
      </c>
      <c r="M484" s="47"/>
      <c r="N484" s="47">
        <v>1500</v>
      </c>
      <c r="O484" s="43" t="e">
        <f t="shared" si="138"/>
        <v>#DIV/0!</v>
      </c>
      <c r="P484" s="45"/>
      <c r="Q484" s="45"/>
      <c r="R484" s="45"/>
      <c r="S484" s="48">
        <f t="shared" si="146"/>
        <v>2160</v>
      </c>
      <c r="T484" s="43">
        <f t="shared" si="147"/>
        <v>0</v>
      </c>
      <c r="U484" s="44" t="e">
        <f t="shared" si="145"/>
        <v>#DIV/0!</v>
      </c>
      <c r="V484" s="45">
        <v>382</v>
      </c>
      <c r="W484" s="45">
        <v>3225</v>
      </c>
      <c r="X484" s="45" t="s">
        <v>139</v>
      </c>
      <c r="Y484" s="45" t="s">
        <v>42</v>
      </c>
      <c r="Z484" s="1"/>
      <c r="AA484" s="1"/>
    </row>
    <row r="485" spans="1:27" s="49" customFormat="1" ht="16.5" customHeight="1" thickBot="1" x14ac:dyDescent="0.25">
      <c r="A485" s="84">
        <v>478</v>
      </c>
      <c r="B485" s="52" t="s">
        <v>35</v>
      </c>
      <c r="C485" s="41" t="s">
        <v>36</v>
      </c>
      <c r="D485" s="41" t="s">
        <v>37</v>
      </c>
      <c r="E485" s="41" t="s">
        <v>512</v>
      </c>
      <c r="F485" s="41" t="s">
        <v>565</v>
      </c>
      <c r="G485" s="41" t="s">
        <v>523</v>
      </c>
      <c r="H485" s="46" t="s">
        <v>26</v>
      </c>
      <c r="I485" s="62"/>
      <c r="J485" s="70"/>
      <c r="K485" s="67" t="s">
        <v>28</v>
      </c>
      <c r="L485" s="41">
        <v>3</v>
      </c>
      <c r="M485" s="47"/>
      <c r="N485" s="47">
        <v>1500</v>
      </c>
      <c r="O485" s="43" t="e">
        <f t="shared" si="138"/>
        <v>#DIV/0!</v>
      </c>
      <c r="P485" s="45"/>
      <c r="Q485" s="45"/>
      <c r="R485" s="45"/>
      <c r="S485" s="48">
        <f t="shared" si="146"/>
        <v>2160</v>
      </c>
      <c r="T485" s="43">
        <f t="shared" si="147"/>
        <v>0</v>
      </c>
      <c r="U485" s="44" t="e">
        <f t="shared" si="145"/>
        <v>#DIV/0!</v>
      </c>
      <c r="V485" s="45">
        <v>383</v>
      </c>
      <c r="W485" s="45">
        <v>3225</v>
      </c>
      <c r="X485" s="45" t="s">
        <v>139</v>
      </c>
      <c r="Y485" s="45" t="s">
        <v>42</v>
      </c>
      <c r="Z485" s="1"/>
      <c r="AA485" s="1"/>
    </row>
    <row r="486" spans="1:27" s="49" customFormat="1" ht="16.5" customHeight="1" thickBot="1" x14ac:dyDescent="0.25">
      <c r="A486" s="84">
        <v>479</v>
      </c>
      <c r="B486" s="52" t="s">
        <v>35</v>
      </c>
      <c r="C486" s="41" t="s">
        <v>36</v>
      </c>
      <c r="D486" s="41" t="s">
        <v>37</v>
      </c>
      <c r="E486" s="41" t="s">
        <v>512</v>
      </c>
      <c r="F486" s="41" t="s">
        <v>566</v>
      </c>
      <c r="G486" s="41" t="s">
        <v>524</v>
      </c>
      <c r="H486" s="46" t="s">
        <v>26</v>
      </c>
      <c r="I486" s="62"/>
      <c r="J486" s="70"/>
      <c r="K486" s="67" t="s">
        <v>28</v>
      </c>
      <c r="L486" s="41">
        <v>3</v>
      </c>
      <c r="M486" s="47"/>
      <c r="N486" s="47">
        <v>1500</v>
      </c>
      <c r="O486" s="43" t="e">
        <f t="shared" si="138"/>
        <v>#DIV/0!</v>
      </c>
      <c r="P486" s="45"/>
      <c r="Q486" s="45"/>
      <c r="R486" s="45"/>
      <c r="S486" s="48">
        <f t="shared" si="146"/>
        <v>2160</v>
      </c>
      <c r="T486" s="43">
        <f t="shared" si="147"/>
        <v>0</v>
      </c>
      <c r="U486" s="44" t="e">
        <f t="shared" si="145"/>
        <v>#DIV/0!</v>
      </c>
      <c r="V486" s="45">
        <v>381</v>
      </c>
      <c r="W486" s="45">
        <v>3225</v>
      </c>
      <c r="X486" s="45" t="s">
        <v>139</v>
      </c>
      <c r="Y486" s="45" t="s">
        <v>42</v>
      </c>
      <c r="Z486" s="1"/>
      <c r="AA486" s="1"/>
    </row>
    <row r="487" spans="1:27" s="49" customFormat="1" ht="16.5" customHeight="1" thickBot="1" x14ac:dyDescent="0.25">
      <c r="A487" s="84">
        <v>480</v>
      </c>
      <c r="B487" s="52" t="s">
        <v>35</v>
      </c>
      <c r="C487" s="41" t="s">
        <v>36</v>
      </c>
      <c r="D487" s="41" t="s">
        <v>37</v>
      </c>
      <c r="E487" s="41" t="s">
        <v>512</v>
      </c>
      <c r="F487" s="41" t="s">
        <v>566</v>
      </c>
      <c r="G487" s="41" t="s">
        <v>525</v>
      </c>
      <c r="H487" s="46" t="s">
        <v>26</v>
      </c>
      <c r="I487" s="62"/>
      <c r="J487" s="70"/>
      <c r="K487" s="67" t="s">
        <v>28</v>
      </c>
      <c r="L487" s="41">
        <v>3</v>
      </c>
      <c r="M487" s="47"/>
      <c r="N487" s="47">
        <v>1500</v>
      </c>
      <c r="O487" s="43" t="e">
        <f t="shared" si="138"/>
        <v>#DIV/0!</v>
      </c>
      <c r="P487" s="45"/>
      <c r="Q487" s="45"/>
      <c r="R487" s="45"/>
      <c r="S487" s="48">
        <f t="shared" si="146"/>
        <v>2160</v>
      </c>
      <c r="T487" s="43">
        <f t="shared" si="147"/>
        <v>0</v>
      </c>
      <c r="U487" s="44" t="e">
        <f t="shared" si="145"/>
        <v>#DIV/0!</v>
      </c>
      <c r="V487" s="45">
        <v>381</v>
      </c>
      <c r="W487" s="45">
        <v>3225</v>
      </c>
      <c r="X487" s="45" t="s">
        <v>139</v>
      </c>
      <c r="Y487" s="45" t="s">
        <v>42</v>
      </c>
      <c r="Z487" s="1"/>
      <c r="AA487" s="1"/>
    </row>
    <row r="488" spans="1:27" s="49" customFormat="1" ht="16.5" customHeight="1" thickBot="1" x14ac:dyDescent="0.25">
      <c r="A488" s="84">
        <v>481</v>
      </c>
      <c r="B488" s="52" t="s">
        <v>35</v>
      </c>
      <c r="C488" s="41" t="s">
        <v>36</v>
      </c>
      <c r="D488" s="41" t="s">
        <v>37</v>
      </c>
      <c r="E488" s="41" t="s">
        <v>512</v>
      </c>
      <c r="F488" s="41" t="s">
        <v>566</v>
      </c>
      <c r="G488" s="41" t="s">
        <v>496</v>
      </c>
      <c r="H488" s="46" t="s">
        <v>26</v>
      </c>
      <c r="I488" s="62"/>
      <c r="J488" s="70"/>
      <c r="K488" s="67" t="s">
        <v>28</v>
      </c>
      <c r="L488" s="41">
        <v>3</v>
      </c>
      <c r="M488" s="47"/>
      <c r="N488" s="47">
        <v>1500</v>
      </c>
      <c r="O488" s="43" t="e">
        <f t="shared" si="138"/>
        <v>#DIV/0!</v>
      </c>
      <c r="P488" s="45"/>
      <c r="Q488" s="45"/>
      <c r="R488" s="45"/>
      <c r="S488" s="48">
        <f t="shared" si="146"/>
        <v>2160</v>
      </c>
      <c r="T488" s="43">
        <f t="shared" si="147"/>
        <v>0</v>
      </c>
      <c r="U488" s="44" t="e">
        <f t="shared" si="145"/>
        <v>#DIV/0!</v>
      </c>
      <c r="V488" s="45">
        <v>383</v>
      </c>
      <c r="W488" s="45">
        <v>3225</v>
      </c>
      <c r="X488" s="45" t="s">
        <v>139</v>
      </c>
      <c r="Y488" s="45" t="s">
        <v>42</v>
      </c>
      <c r="Z488" s="1"/>
      <c r="AA488" s="1"/>
    </row>
    <row r="489" spans="1:27" s="49" customFormat="1" ht="16.5" customHeight="1" thickBot="1" x14ac:dyDescent="0.25">
      <c r="A489" s="84">
        <v>482</v>
      </c>
      <c r="B489" s="52" t="s">
        <v>35</v>
      </c>
      <c r="C489" s="41" t="s">
        <v>36</v>
      </c>
      <c r="D489" s="41" t="s">
        <v>37</v>
      </c>
      <c r="E489" s="41" t="s">
        <v>512</v>
      </c>
      <c r="F489" s="41" t="s">
        <v>566</v>
      </c>
      <c r="G489" s="41" t="s">
        <v>526</v>
      </c>
      <c r="H489" s="46" t="s">
        <v>26</v>
      </c>
      <c r="I489" s="62"/>
      <c r="J489" s="70"/>
      <c r="K489" s="67" t="s">
        <v>28</v>
      </c>
      <c r="L489" s="41">
        <v>3</v>
      </c>
      <c r="M489" s="47"/>
      <c r="N489" s="47">
        <v>1000</v>
      </c>
      <c r="O489" s="43" t="e">
        <f t="shared" si="138"/>
        <v>#DIV/0!</v>
      </c>
      <c r="P489" s="45"/>
      <c r="Q489" s="45"/>
      <c r="R489" s="45"/>
      <c r="S489" s="48">
        <f t="shared" si="146"/>
        <v>1440</v>
      </c>
      <c r="T489" s="43">
        <f t="shared" si="147"/>
        <v>0</v>
      </c>
      <c r="U489" s="44" t="e">
        <f t="shared" si="145"/>
        <v>#DIV/0!</v>
      </c>
      <c r="V489" s="45">
        <v>382</v>
      </c>
      <c r="W489" s="45">
        <v>3225</v>
      </c>
      <c r="X489" s="45" t="s">
        <v>139</v>
      </c>
      <c r="Y489" s="45" t="s">
        <v>42</v>
      </c>
      <c r="Z489" s="1"/>
      <c r="AA489" s="1"/>
    </row>
    <row r="490" spans="1:27" s="49" customFormat="1" ht="16.5" customHeight="1" thickBot="1" x14ac:dyDescent="0.25">
      <c r="A490" s="84">
        <v>483</v>
      </c>
      <c r="B490" s="52" t="s">
        <v>35</v>
      </c>
      <c r="C490" s="41" t="s">
        <v>36</v>
      </c>
      <c r="D490" s="41" t="s">
        <v>37</v>
      </c>
      <c r="E490" s="41" t="s">
        <v>512</v>
      </c>
      <c r="F490" s="41" t="s">
        <v>566</v>
      </c>
      <c r="G490" s="41" t="s">
        <v>527</v>
      </c>
      <c r="H490" s="46" t="s">
        <v>26</v>
      </c>
      <c r="I490" s="62"/>
      <c r="J490" s="70"/>
      <c r="K490" s="67" t="s">
        <v>28</v>
      </c>
      <c r="L490" s="41">
        <v>3</v>
      </c>
      <c r="M490" s="47"/>
      <c r="N490" s="47">
        <v>1500</v>
      </c>
      <c r="O490" s="43" t="e">
        <f t="shared" si="138"/>
        <v>#DIV/0!</v>
      </c>
      <c r="P490" s="45"/>
      <c r="Q490" s="45"/>
      <c r="R490" s="45"/>
      <c r="S490" s="48">
        <f t="shared" si="146"/>
        <v>2160</v>
      </c>
      <c r="T490" s="43">
        <f t="shared" si="147"/>
        <v>0</v>
      </c>
      <c r="U490" s="44" t="e">
        <f t="shared" si="145"/>
        <v>#DIV/0!</v>
      </c>
      <c r="V490" s="45">
        <v>381</v>
      </c>
      <c r="W490" s="45">
        <v>3225</v>
      </c>
      <c r="X490" s="45" t="s">
        <v>139</v>
      </c>
      <c r="Y490" s="45" t="s">
        <v>42</v>
      </c>
      <c r="Z490" s="1"/>
      <c r="AA490" s="1"/>
    </row>
    <row r="491" spans="1:27" s="49" customFormat="1" ht="16.5" customHeight="1" thickBot="1" x14ac:dyDescent="0.25">
      <c r="A491" s="84">
        <v>484</v>
      </c>
      <c r="B491" s="52" t="s">
        <v>35</v>
      </c>
      <c r="C491" s="41" t="s">
        <v>36</v>
      </c>
      <c r="D491" s="41" t="s">
        <v>37</v>
      </c>
      <c r="E491" s="41" t="s">
        <v>512</v>
      </c>
      <c r="F491" s="41" t="s">
        <v>566</v>
      </c>
      <c r="G491" s="41" t="s">
        <v>528</v>
      </c>
      <c r="H491" s="46" t="s">
        <v>26</v>
      </c>
      <c r="I491" s="62"/>
      <c r="J491" s="70"/>
      <c r="K491" s="67" t="s">
        <v>28</v>
      </c>
      <c r="L491" s="41">
        <v>3</v>
      </c>
      <c r="M491" s="47"/>
      <c r="N491" s="47">
        <v>300</v>
      </c>
      <c r="O491" s="43" t="e">
        <f t="shared" si="138"/>
        <v>#DIV/0!</v>
      </c>
      <c r="P491" s="45"/>
      <c r="Q491" s="45"/>
      <c r="R491" s="45"/>
      <c r="S491" s="48">
        <f t="shared" si="146"/>
        <v>432</v>
      </c>
      <c r="T491" s="43">
        <f t="shared" si="147"/>
        <v>0</v>
      </c>
      <c r="U491" s="44" t="e">
        <f t="shared" si="145"/>
        <v>#DIV/0!</v>
      </c>
      <c r="V491" s="45">
        <v>381</v>
      </c>
      <c r="W491" s="45">
        <v>3225</v>
      </c>
      <c r="X491" s="45" t="s">
        <v>139</v>
      </c>
      <c r="Y491" s="45" t="s">
        <v>42</v>
      </c>
      <c r="Z491" s="1"/>
      <c r="AA491" s="1"/>
    </row>
    <row r="492" spans="1:27" s="49" customFormat="1" ht="16.5" customHeight="1" thickBot="1" x14ac:dyDescent="0.25">
      <c r="A492" s="84">
        <v>485</v>
      </c>
      <c r="B492" s="52" t="s">
        <v>35</v>
      </c>
      <c r="C492" s="41" t="s">
        <v>36</v>
      </c>
      <c r="D492" s="41" t="s">
        <v>37</v>
      </c>
      <c r="E492" s="41" t="s">
        <v>512</v>
      </c>
      <c r="F492" s="41" t="s">
        <v>566</v>
      </c>
      <c r="G492" s="41" t="s">
        <v>529</v>
      </c>
      <c r="H492" s="46" t="s">
        <v>26</v>
      </c>
      <c r="I492" s="62"/>
      <c r="J492" s="70"/>
      <c r="K492" s="67" t="s">
        <v>28</v>
      </c>
      <c r="L492" s="41">
        <v>3</v>
      </c>
      <c r="M492" s="47"/>
      <c r="N492" s="47">
        <v>300</v>
      </c>
      <c r="O492" s="43" t="e">
        <f t="shared" si="138"/>
        <v>#DIV/0!</v>
      </c>
      <c r="P492" s="45"/>
      <c r="Q492" s="45"/>
      <c r="R492" s="45"/>
      <c r="S492" s="48">
        <f t="shared" si="146"/>
        <v>432</v>
      </c>
      <c r="T492" s="43">
        <f t="shared" si="147"/>
        <v>0</v>
      </c>
      <c r="U492" s="44" t="e">
        <f t="shared" si="145"/>
        <v>#DIV/0!</v>
      </c>
      <c r="V492" s="45">
        <v>381</v>
      </c>
      <c r="W492" s="45">
        <v>3225</v>
      </c>
      <c r="X492" s="45" t="s">
        <v>139</v>
      </c>
      <c r="Y492" s="45" t="s">
        <v>42</v>
      </c>
      <c r="Z492" s="1"/>
      <c r="AA492" s="1"/>
    </row>
    <row r="493" spans="1:27" s="49" customFormat="1" ht="16.5" customHeight="1" thickBot="1" x14ac:dyDescent="0.25">
      <c r="A493" s="84">
        <v>486</v>
      </c>
      <c r="B493" s="52" t="s">
        <v>35</v>
      </c>
      <c r="C493" s="41" t="s">
        <v>36</v>
      </c>
      <c r="D493" s="41" t="s">
        <v>37</v>
      </c>
      <c r="E493" s="41" t="s">
        <v>512</v>
      </c>
      <c r="F493" s="41" t="s">
        <v>566</v>
      </c>
      <c r="G493" s="41" t="s">
        <v>455</v>
      </c>
      <c r="H493" s="46" t="s">
        <v>26</v>
      </c>
      <c r="I493" s="62"/>
      <c r="J493" s="70"/>
      <c r="K493" s="67" t="s">
        <v>28</v>
      </c>
      <c r="L493" s="41">
        <v>3</v>
      </c>
      <c r="M493" s="47"/>
      <c r="N493" s="47">
        <v>1500</v>
      </c>
      <c r="O493" s="43" t="e">
        <f t="shared" si="138"/>
        <v>#DIV/0!</v>
      </c>
      <c r="P493" s="45"/>
      <c r="Q493" s="45"/>
      <c r="R493" s="45"/>
      <c r="S493" s="48">
        <f t="shared" si="146"/>
        <v>2160</v>
      </c>
      <c r="T493" s="43">
        <f t="shared" si="147"/>
        <v>0</v>
      </c>
      <c r="U493" s="44" t="e">
        <f t="shared" si="145"/>
        <v>#DIV/0!</v>
      </c>
      <c r="V493" s="45">
        <v>381</v>
      </c>
      <c r="W493" s="45">
        <v>3225</v>
      </c>
      <c r="X493" s="45" t="s">
        <v>139</v>
      </c>
      <c r="Y493" s="45" t="s">
        <v>42</v>
      </c>
      <c r="Z493" s="1"/>
      <c r="AA493" s="1"/>
    </row>
    <row r="494" spans="1:27" s="49" customFormat="1" ht="16.5" customHeight="1" thickBot="1" x14ac:dyDescent="0.25">
      <c r="A494" s="84">
        <v>487</v>
      </c>
      <c r="B494" s="52" t="s">
        <v>35</v>
      </c>
      <c r="C494" s="41" t="s">
        <v>36</v>
      </c>
      <c r="D494" s="41" t="s">
        <v>37</v>
      </c>
      <c r="E494" s="41" t="s">
        <v>512</v>
      </c>
      <c r="F494" s="41" t="s">
        <v>566</v>
      </c>
      <c r="G494" s="41" t="s">
        <v>456</v>
      </c>
      <c r="H494" s="46" t="s">
        <v>26</v>
      </c>
      <c r="I494" s="62"/>
      <c r="J494" s="70"/>
      <c r="K494" s="67" t="s">
        <v>28</v>
      </c>
      <c r="L494" s="41">
        <v>3</v>
      </c>
      <c r="M494" s="47"/>
      <c r="N494" s="47">
        <v>1500</v>
      </c>
      <c r="O494" s="43" t="e">
        <f t="shared" si="138"/>
        <v>#DIV/0!</v>
      </c>
      <c r="P494" s="45"/>
      <c r="Q494" s="45"/>
      <c r="R494" s="45"/>
      <c r="S494" s="48">
        <f t="shared" si="146"/>
        <v>2160</v>
      </c>
      <c r="T494" s="43">
        <f t="shared" si="147"/>
        <v>0</v>
      </c>
      <c r="U494" s="44" t="e">
        <f t="shared" si="145"/>
        <v>#DIV/0!</v>
      </c>
      <c r="V494" s="45">
        <v>381</v>
      </c>
      <c r="W494" s="45">
        <v>3225</v>
      </c>
      <c r="X494" s="45" t="s">
        <v>139</v>
      </c>
      <c r="Y494" s="45" t="s">
        <v>42</v>
      </c>
      <c r="Z494" s="1"/>
      <c r="AA494" s="1"/>
    </row>
    <row r="495" spans="1:27" s="49" customFormat="1" ht="16.5" customHeight="1" thickBot="1" x14ac:dyDescent="0.25">
      <c r="A495" s="84">
        <v>488</v>
      </c>
      <c r="B495" s="52" t="s">
        <v>35</v>
      </c>
      <c r="C495" s="41" t="s">
        <v>36</v>
      </c>
      <c r="D495" s="41" t="s">
        <v>37</v>
      </c>
      <c r="E495" s="41" t="s">
        <v>512</v>
      </c>
      <c r="F495" s="41" t="s">
        <v>566</v>
      </c>
      <c r="G495" s="41" t="s">
        <v>530</v>
      </c>
      <c r="H495" s="46" t="s">
        <v>26</v>
      </c>
      <c r="I495" s="62"/>
      <c r="J495" s="70"/>
      <c r="K495" s="67" t="s">
        <v>28</v>
      </c>
      <c r="L495" s="41">
        <v>3</v>
      </c>
      <c r="M495" s="47"/>
      <c r="N495" s="47">
        <v>1500</v>
      </c>
      <c r="O495" s="43" t="e">
        <f t="shared" si="138"/>
        <v>#DIV/0!</v>
      </c>
      <c r="P495" s="45"/>
      <c r="Q495" s="45"/>
      <c r="R495" s="45"/>
      <c r="S495" s="48">
        <f t="shared" si="146"/>
        <v>2160</v>
      </c>
      <c r="T495" s="43">
        <f t="shared" si="147"/>
        <v>0</v>
      </c>
      <c r="U495" s="44" t="e">
        <f t="shared" si="145"/>
        <v>#DIV/0!</v>
      </c>
      <c r="V495" s="45">
        <v>382</v>
      </c>
      <c r="W495" s="45">
        <v>3225</v>
      </c>
      <c r="X495" s="45" t="s">
        <v>139</v>
      </c>
      <c r="Y495" s="45" t="s">
        <v>42</v>
      </c>
      <c r="Z495" s="1"/>
      <c r="AA495" s="1"/>
    </row>
    <row r="496" spans="1:27" s="49" customFormat="1" ht="16.5" customHeight="1" thickBot="1" x14ac:dyDescent="0.25">
      <c r="A496" s="84">
        <v>489</v>
      </c>
      <c r="B496" s="52" t="s">
        <v>35</v>
      </c>
      <c r="C496" s="41" t="s">
        <v>36</v>
      </c>
      <c r="D496" s="41" t="s">
        <v>37</v>
      </c>
      <c r="E496" s="41" t="s">
        <v>512</v>
      </c>
      <c r="F496" s="41" t="s">
        <v>566</v>
      </c>
      <c r="G496" s="41" t="s">
        <v>531</v>
      </c>
      <c r="H496" s="46" t="s">
        <v>26</v>
      </c>
      <c r="I496" s="62"/>
      <c r="J496" s="70"/>
      <c r="K496" s="67" t="s">
        <v>28</v>
      </c>
      <c r="L496" s="41">
        <v>3</v>
      </c>
      <c r="M496" s="47"/>
      <c r="N496" s="47">
        <v>300</v>
      </c>
      <c r="O496" s="43" t="e">
        <f t="shared" si="138"/>
        <v>#DIV/0!</v>
      </c>
      <c r="P496" s="45"/>
      <c r="Q496" s="45"/>
      <c r="R496" s="45"/>
      <c r="S496" s="48">
        <f t="shared" si="146"/>
        <v>432</v>
      </c>
      <c r="T496" s="43">
        <f t="shared" si="147"/>
        <v>0</v>
      </c>
      <c r="U496" s="44" t="e">
        <f t="shared" si="145"/>
        <v>#DIV/0!</v>
      </c>
      <c r="V496" s="45">
        <v>383</v>
      </c>
      <c r="W496" s="45">
        <v>3225</v>
      </c>
      <c r="X496" s="45" t="s">
        <v>139</v>
      </c>
      <c r="Y496" s="45" t="s">
        <v>42</v>
      </c>
      <c r="Z496" s="1"/>
      <c r="AA496" s="1"/>
    </row>
    <row r="497" spans="1:27" s="49" customFormat="1" ht="16.5" customHeight="1" thickBot="1" x14ac:dyDescent="0.25">
      <c r="A497" s="84">
        <v>490</v>
      </c>
      <c r="B497" s="52" t="s">
        <v>35</v>
      </c>
      <c r="C497" s="41" t="s">
        <v>36</v>
      </c>
      <c r="D497" s="41" t="s">
        <v>37</v>
      </c>
      <c r="E497" s="41" t="s">
        <v>512</v>
      </c>
      <c r="F497" s="41" t="s">
        <v>567</v>
      </c>
      <c r="G497" s="41" t="s">
        <v>532</v>
      </c>
      <c r="H497" s="46" t="s">
        <v>26</v>
      </c>
      <c r="I497" s="62"/>
      <c r="J497" s="70"/>
      <c r="K497" s="67" t="s">
        <v>28</v>
      </c>
      <c r="L497" s="41">
        <v>3</v>
      </c>
      <c r="M497" s="47"/>
      <c r="N497" s="47">
        <v>300</v>
      </c>
      <c r="O497" s="43" t="e">
        <f t="shared" si="138"/>
        <v>#DIV/0!</v>
      </c>
      <c r="P497" s="45"/>
      <c r="Q497" s="45"/>
      <c r="R497" s="45"/>
      <c r="S497" s="48">
        <f t="shared" si="146"/>
        <v>432</v>
      </c>
      <c r="T497" s="43">
        <f t="shared" si="147"/>
        <v>0</v>
      </c>
      <c r="U497" s="44" t="e">
        <f t="shared" si="145"/>
        <v>#DIV/0!</v>
      </c>
      <c r="V497" s="45">
        <v>383</v>
      </c>
      <c r="W497" s="45">
        <v>3225</v>
      </c>
      <c r="X497" s="45" t="s">
        <v>139</v>
      </c>
      <c r="Y497" s="45" t="s">
        <v>42</v>
      </c>
      <c r="Z497" s="1"/>
      <c r="AA497" s="1"/>
    </row>
    <row r="498" spans="1:27" s="49" customFormat="1" ht="16.5" customHeight="1" thickBot="1" x14ac:dyDescent="0.25">
      <c r="A498" s="84">
        <v>491</v>
      </c>
      <c r="B498" s="52" t="s">
        <v>35</v>
      </c>
      <c r="C498" s="41" t="s">
        <v>36</v>
      </c>
      <c r="D498" s="41" t="s">
        <v>37</v>
      </c>
      <c r="E498" s="41" t="s">
        <v>512</v>
      </c>
      <c r="F498" s="41" t="s">
        <v>567</v>
      </c>
      <c r="G498" s="41" t="s">
        <v>533</v>
      </c>
      <c r="H498" s="46" t="s">
        <v>26</v>
      </c>
      <c r="I498" s="62"/>
      <c r="J498" s="70"/>
      <c r="K498" s="67" t="s">
        <v>28</v>
      </c>
      <c r="L498" s="41">
        <v>3</v>
      </c>
      <c r="M498" s="47"/>
      <c r="N498" s="47">
        <v>1500</v>
      </c>
      <c r="O498" s="43" t="e">
        <f t="shared" si="138"/>
        <v>#DIV/0!</v>
      </c>
      <c r="P498" s="45"/>
      <c r="Q498" s="45"/>
      <c r="R498" s="45"/>
      <c r="S498" s="48">
        <f t="shared" si="146"/>
        <v>2160</v>
      </c>
      <c r="T498" s="43">
        <f t="shared" si="147"/>
        <v>0</v>
      </c>
      <c r="U498" s="44" t="e">
        <f t="shared" si="145"/>
        <v>#DIV/0!</v>
      </c>
      <c r="V498" s="45">
        <v>383</v>
      </c>
      <c r="W498" s="45">
        <v>3225</v>
      </c>
      <c r="X498" s="45" t="s">
        <v>139</v>
      </c>
      <c r="Y498" s="45" t="s">
        <v>42</v>
      </c>
      <c r="Z498" s="1"/>
      <c r="AA498" s="1"/>
    </row>
    <row r="499" spans="1:27" s="49" customFormat="1" ht="16.5" customHeight="1" thickBot="1" x14ac:dyDescent="0.25">
      <c r="A499" s="84">
        <v>492</v>
      </c>
      <c r="B499" s="52" t="s">
        <v>35</v>
      </c>
      <c r="C499" s="41" t="s">
        <v>36</v>
      </c>
      <c r="D499" s="41" t="s">
        <v>37</v>
      </c>
      <c r="E499" s="41" t="s">
        <v>512</v>
      </c>
      <c r="F499" s="41" t="s">
        <v>567</v>
      </c>
      <c r="G499" s="41" t="s">
        <v>534</v>
      </c>
      <c r="H499" s="46" t="s">
        <v>26</v>
      </c>
      <c r="I499" s="62"/>
      <c r="J499" s="70"/>
      <c r="K499" s="67" t="s">
        <v>28</v>
      </c>
      <c r="L499" s="41">
        <v>3</v>
      </c>
      <c r="M499" s="47"/>
      <c r="N499" s="47">
        <v>1500</v>
      </c>
      <c r="O499" s="43" t="e">
        <f t="shared" si="138"/>
        <v>#DIV/0!</v>
      </c>
      <c r="P499" s="45"/>
      <c r="Q499" s="45"/>
      <c r="R499" s="45"/>
      <c r="S499" s="48">
        <f t="shared" si="146"/>
        <v>2160</v>
      </c>
      <c r="T499" s="43">
        <f t="shared" si="147"/>
        <v>0</v>
      </c>
      <c r="U499" s="44" t="e">
        <f t="shared" si="145"/>
        <v>#DIV/0!</v>
      </c>
      <c r="V499" s="45">
        <v>382</v>
      </c>
      <c r="W499" s="45">
        <v>3225</v>
      </c>
      <c r="X499" s="45" t="s">
        <v>139</v>
      </c>
      <c r="Y499" s="45" t="s">
        <v>42</v>
      </c>
      <c r="Z499" s="1"/>
      <c r="AA499" s="1"/>
    </row>
    <row r="500" spans="1:27" s="49" customFormat="1" ht="16.5" customHeight="1" thickBot="1" x14ac:dyDescent="0.25">
      <c r="A500" s="84">
        <v>493</v>
      </c>
      <c r="B500" s="52" t="s">
        <v>35</v>
      </c>
      <c r="C500" s="41" t="s">
        <v>36</v>
      </c>
      <c r="D500" s="41" t="s">
        <v>37</v>
      </c>
      <c r="E500" s="41" t="s">
        <v>512</v>
      </c>
      <c r="F500" s="41" t="s">
        <v>567</v>
      </c>
      <c r="G500" s="41" t="s">
        <v>535</v>
      </c>
      <c r="H500" s="46" t="s">
        <v>26</v>
      </c>
      <c r="I500" s="62"/>
      <c r="J500" s="70"/>
      <c r="K500" s="67" t="s">
        <v>28</v>
      </c>
      <c r="L500" s="41">
        <v>3</v>
      </c>
      <c r="M500" s="47"/>
      <c r="N500" s="47">
        <v>1000</v>
      </c>
      <c r="O500" s="43" t="e">
        <f t="shared" si="138"/>
        <v>#DIV/0!</v>
      </c>
      <c r="P500" s="45"/>
      <c r="Q500" s="45"/>
      <c r="R500" s="45"/>
      <c r="S500" s="48">
        <f t="shared" si="146"/>
        <v>1440</v>
      </c>
      <c r="T500" s="43">
        <f t="shared" si="147"/>
        <v>0</v>
      </c>
      <c r="U500" s="44" t="e">
        <f t="shared" si="145"/>
        <v>#DIV/0!</v>
      </c>
      <c r="V500" s="45">
        <v>382</v>
      </c>
      <c r="W500" s="45">
        <v>3225</v>
      </c>
      <c r="X500" s="45" t="s">
        <v>139</v>
      </c>
      <c r="Y500" s="45" t="s">
        <v>42</v>
      </c>
      <c r="Z500" s="1"/>
      <c r="AA500" s="1"/>
    </row>
    <row r="501" spans="1:27" s="49" customFormat="1" ht="16.5" customHeight="1" thickBot="1" x14ac:dyDescent="0.25">
      <c r="A501" s="84">
        <v>494</v>
      </c>
      <c r="B501" s="52" t="s">
        <v>35</v>
      </c>
      <c r="C501" s="41" t="s">
        <v>36</v>
      </c>
      <c r="D501" s="41" t="s">
        <v>37</v>
      </c>
      <c r="E501" s="41" t="s">
        <v>512</v>
      </c>
      <c r="F501" s="41" t="s">
        <v>567</v>
      </c>
      <c r="G501" s="41" t="s">
        <v>536</v>
      </c>
      <c r="H501" s="46" t="s">
        <v>26</v>
      </c>
      <c r="I501" s="62"/>
      <c r="J501" s="70"/>
      <c r="K501" s="67" t="s">
        <v>28</v>
      </c>
      <c r="L501" s="41">
        <v>3</v>
      </c>
      <c r="M501" s="47"/>
      <c r="N501" s="47">
        <v>1000</v>
      </c>
      <c r="O501" s="43" t="e">
        <f t="shared" si="138"/>
        <v>#DIV/0!</v>
      </c>
      <c r="P501" s="45"/>
      <c r="Q501" s="45"/>
      <c r="R501" s="45"/>
      <c r="S501" s="48">
        <f t="shared" si="146"/>
        <v>1440</v>
      </c>
      <c r="T501" s="43">
        <f t="shared" si="147"/>
        <v>0</v>
      </c>
      <c r="U501" s="44" t="e">
        <f t="shared" si="145"/>
        <v>#DIV/0!</v>
      </c>
      <c r="V501" s="45">
        <v>382</v>
      </c>
      <c r="W501" s="45">
        <v>3225</v>
      </c>
      <c r="X501" s="45" t="s">
        <v>139</v>
      </c>
      <c r="Y501" s="45" t="s">
        <v>42</v>
      </c>
      <c r="Z501" s="1"/>
      <c r="AA501" s="1"/>
    </row>
    <row r="502" spans="1:27" s="49" customFormat="1" ht="16.5" customHeight="1" thickBot="1" x14ac:dyDescent="0.25">
      <c r="A502" s="84">
        <v>495</v>
      </c>
      <c r="B502" s="52" t="s">
        <v>35</v>
      </c>
      <c r="C502" s="41" t="s">
        <v>36</v>
      </c>
      <c r="D502" s="41" t="s">
        <v>37</v>
      </c>
      <c r="E502" s="41" t="s">
        <v>512</v>
      </c>
      <c r="F502" s="41" t="s">
        <v>567</v>
      </c>
      <c r="G502" s="41" t="s">
        <v>537</v>
      </c>
      <c r="H502" s="46" t="s">
        <v>26</v>
      </c>
      <c r="I502" s="62"/>
      <c r="J502" s="70"/>
      <c r="K502" s="67" t="s">
        <v>28</v>
      </c>
      <c r="L502" s="41">
        <v>3</v>
      </c>
      <c r="M502" s="47"/>
      <c r="N502" s="47">
        <v>1500</v>
      </c>
      <c r="O502" s="43" t="e">
        <f t="shared" si="138"/>
        <v>#DIV/0!</v>
      </c>
      <c r="P502" s="45"/>
      <c r="Q502" s="45"/>
      <c r="R502" s="45"/>
      <c r="S502" s="48">
        <f t="shared" si="146"/>
        <v>2160</v>
      </c>
      <c r="T502" s="43">
        <f t="shared" si="147"/>
        <v>0</v>
      </c>
      <c r="U502" s="44" t="e">
        <f t="shared" si="145"/>
        <v>#DIV/0!</v>
      </c>
      <c r="V502" s="45">
        <v>381</v>
      </c>
      <c r="W502" s="45">
        <v>3225</v>
      </c>
      <c r="X502" s="45" t="s">
        <v>139</v>
      </c>
      <c r="Y502" s="45" t="s">
        <v>42</v>
      </c>
      <c r="Z502" s="1"/>
      <c r="AA502" s="1"/>
    </row>
    <row r="503" spans="1:27" s="49" customFormat="1" ht="16.5" customHeight="1" thickBot="1" x14ac:dyDescent="0.25">
      <c r="A503" s="84">
        <v>496</v>
      </c>
      <c r="B503" s="52" t="s">
        <v>35</v>
      </c>
      <c r="C503" s="41" t="s">
        <v>36</v>
      </c>
      <c r="D503" s="41" t="s">
        <v>37</v>
      </c>
      <c r="E503" s="41" t="s">
        <v>512</v>
      </c>
      <c r="F503" s="41" t="s">
        <v>567</v>
      </c>
      <c r="G503" s="41" t="s">
        <v>538</v>
      </c>
      <c r="H503" s="46" t="s">
        <v>26</v>
      </c>
      <c r="I503" s="62"/>
      <c r="J503" s="70"/>
      <c r="K503" s="67" t="s">
        <v>28</v>
      </c>
      <c r="L503" s="41">
        <v>3</v>
      </c>
      <c r="M503" s="47"/>
      <c r="N503" s="47">
        <v>2000</v>
      </c>
      <c r="O503" s="43" t="e">
        <f t="shared" si="138"/>
        <v>#DIV/0!</v>
      </c>
      <c r="P503" s="45"/>
      <c r="Q503" s="45"/>
      <c r="R503" s="45"/>
      <c r="S503" s="48">
        <f t="shared" si="146"/>
        <v>2880</v>
      </c>
      <c r="T503" s="43">
        <f t="shared" si="147"/>
        <v>0</v>
      </c>
      <c r="U503" s="44" t="e">
        <f t="shared" si="145"/>
        <v>#DIV/0!</v>
      </c>
      <c r="V503" s="45">
        <v>381</v>
      </c>
      <c r="W503" s="45">
        <v>3225</v>
      </c>
      <c r="X503" s="45" t="s">
        <v>139</v>
      </c>
      <c r="Y503" s="45" t="s">
        <v>42</v>
      </c>
      <c r="Z503" s="1"/>
      <c r="AA503" s="1"/>
    </row>
    <row r="504" spans="1:27" s="49" customFormat="1" ht="16.5" customHeight="1" thickBot="1" x14ac:dyDescent="0.25">
      <c r="A504" s="84">
        <v>497</v>
      </c>
      <c r="B504" s="52" t="s">
        <v>35</v>
      </c>
      <c r="C504" s="41" t="s">
        <v>36</v>
      </c>
      <c r="D504" s="41" t="s">
        <v>37</v>
      </c>
      <c r="E504" s="41" t="s">
        <v>512</v>
      </c>
      <c r="F504" s="41" t="s">
        <v>567</v>
      </c>
      <c r="G504" s="41" t="s">
        <v>539</v>
      </c>
      <c r="H504" s="46" t="s">
        <v>26</v>
      </c>
      <c r="I504" s="62"/>
      <c r="J504" s="70"/>
      <c r="K504" s="67" t="s">
        <v>28</v>
      </c>
      <c r="L504" s="41">
        <v>3</v>
      </c>
      <c r="M504" s="47"/>
      <c r="N504" s="47">
        <v>1500</v>
      </c>
      <c r="O504" s="43" t="e">
        <f t="shared" ref="O504:O510" si="148">MAX(P504:R504)-AVERAGE(P504:R504)</f>
        <v>#DIV/0!</v>
      </c>
      <c r="P504" s="45"/>
      <c r="Q504" s="45"/>
      <c r="R504" s="45"/>
      <c r="S504" s="48">
        <f t="shared" si="146"/>
        <v>2160</v>
      </c>
      <c r="T504" s="43">
        <f t="shared" si="147"/>
        <v>0</v>
      </c>
      <c r="U504" s="44" t="e">
        <f t="shared" si="145"/>
        <v>#DIV/0!</v>
      </c>
      <c r="V504" s="45">
        <v>383</v>
      </c>
      <c r="W504" s="45">
        <v>3225</v>
      </c>
      <c r="X504" s="45" t="s">
        <v>139</v>
      </c>
      <c r="Y504" s="45" t="s">
        <v>42</v>
      </c>
      <c r="Z504" s="1"/>
      <c r="AA504" s="1"/>
    </row>
    <row r="505" spans="1:27" s="49" customFormat="1" ht="16.5" customHeight="1" thickBot="1" x14ac:dyDescent="0.25">
      <c r="A505" s="84">
        <v>498</v>
      </c>
      <c r="B505" s="52" t="s">
        <v>35</v>
      </c>
      <c r="C505" s="41" t="s">
        <v>36</v>
      </c>
      <c r="D505" s="41" t="s">
        <v>37</v>
      </c>
      <c r="E505" s="41" t="s">
        <v>512</v>
      </c>
      <c r="F505" s="41" t="s">
        <v>567</v>
      </c>
      <c r="G505" s="41" t="s">
        <v>540</v>
      </c>
      <c r="H505" s="46" t="s">
        <v>26</v>
      </c>
      <c r="I505" s="62"/>
      <c r="J505" s="70"/>
      <c r="K505" s="67" t="s">
        <v>28</v>
      </c>
      <c r="L505" s="41">
        <v>3</v>
      </c>
      <c r="M505" s="47"/>
      <c r="N505" s="47">
        <v>1000</v>
      </c>
      <c r="O505" s="43" t="e">
        <f t="shared" si="148"/>
        <v>#DIV/0!</v>
      </c>
      <c r="P505" s="45"/>
      <c r="Q505" s="45"/>
      <c r="R505" s="45"/>
      <c r="S505" s="48">
        <f t="shared" si="146"/>
        <v>1440</v>
      </c>
      <c r="T505" s="43">
        <f t="shared" si="147"/>
        <v>0</v>
      </c>
      <c r="U505" s="44" t="e">
        <f t="shared" si="145"/>
        <v>#DIV/0!</v>
      </c>
      <c r="V505" s="45">
        <v>382</v>
      </c>
      <c r="W505" s="45">
        <v>3225</v>
      </c>
      <c r="X505" s="45" t="s">
        <v>139</v>
      </c>
      <c r="Y505" s="45" t="s">
        <v>42</v>
      </c>
      <c r="Z505" s="1"/>
      <c r="AA505" s="1"/>
    </row>
    <row r="506" spans="1:27" s="49" customFormat="1" ht="16.5" customHeight="1" thickBot="1" x14ac:dyDescent="0.25">
      <c r="A506" s="84">
        <v>499</v>
      </c>
      <c r="B506" s="52" t="s">
        <v>35</v>
      </c>
      <c r="C506" s="41" t="s">
        <v>36</v>
      </c>
      <c r="D506" s="41" t="s">
        <v>37</v>
      </c>
      <c r="E506" s="41" t="s">
        <v>512</v>
      </c>
      <c r="F506" s="41" t="s">
        <v>567</v>
      </c>
      <c r="G506" s="41" t="s">
        <v>541</v>
      </c>
      <c r="H506" s="46" t="s">
        <v>26</v>
      </c>
      <c r="I506" s="62"/>
      <c r="J506" s="70"/>
      <c r="K506" s="67" t="s">
        <v>28</v>
      </c>
      <c r="L506" s="41">
        <v>3</v>
      </c>
      <c r="M506" s="47"/>
      <c r="N506" s="47">
        <v>1000</v>
      </c>
      <c r="O506" s="43" t="e">
        <f t="shared" si="148"/>
        <v>#DIV/0!</v>
      </c>
      <c r="P506" s="45"/>
      <c r="Q506" s="45"/>
      <c r="R506" s="45"/>
      <c r="S506" s="48">
        <f t="shared" si="146"/>
        <v>1440</v>
      </c>
      <c r="T506" s="43">
        <f t="shared" si="147"/>
        <v>0</v>
      </c>
      <c r="U506" s="44" t="e">
        <f t="shared" si="145"/>
        <v>#DIV/0!</v>
      </c>
      <c r="V506" s="45">
        <v>381</v>
      </c>
      <c r="W506" s="45">
        <v>3225</v>
      </c>
      <c r="X506" s="45" t="s">
        <v>139</v>
      </c>
      <c r="Y506" s="45" t="s">
        <v>42</v>
      </c>
      <c r="Z506" s="1"/>
      <c r="AA506" s="1"/>
    </row>
    <row r="507" spans="1:27" s="49" customFormat="1" ht="16.5" customHeight="1" thickBot="1" x14ac:dyDescent="0.25">
      <c r="A507" s="84">
        <v>500</v>
      </c>
      <c r="B507" s="52" t="s">
        <v>35</v>
      </c>
      <c r="C507" s="41" t="s">
        <v>36</v>
      </c>
      <c r="D507" s="41" t="s">
        <v>37</v>
      </c>
      <c r="E507" s="41" t="s">
        <v>512</v>
      </c>
      <c r="F507" s="41" t="s">
        <v>567</v>
      </c>
      <c r="G507" s="41" t="s">
        <v>542</v>
      </c>
      <c r="H507" s="46" t="s">
        <v>26</v>
      </c>
      <c r="I507" s="62"/>
      <c r="J507" s="70"/>
      <c r="K507" s="67" t="s">
        <v>28</v>
      </c>
      <c r="L507" s="41">
        <v>3</v>
      </c>
      <c r="M507" s="47"/>
      <c r="N507" s="47">
        <v>1000</v>
      </c>
      <c r="O507" s="43" t="e">
        <f t="shared" si="148"/>
        <v>#DIV/0!</v>
      </c>
      <c r="P507" s="45"/>
      <c r="Q507" s="45"/>
      <c r="R507" s="45"/>
      <c r="S507" s="48">
        <f t="shared" si="146"/>
        <v>1440</v>
      </c>
      <c r="T507" s="43">
        <f t="shared" si="147"/>
        <v>0</v>
      </c>
      <c r="U507" s="44" t="e">
        <f t="shared" si="145"/>
        <v>#DIV/0!</v>
      </c>
      <c r="V507" s="45">
        <v>381</v>
      </c>
      <c r="W507" s="45">
        <v>3225</v>
      </c>
      <c r="X507" s="45" t="s">
        <v>139</v>
      </c>
      <c r="Y507" s="45" t="s">
        <v>42</v>
      </c>
      <c r="Z507" s="1"/>
      <c r="AA507" s="1"/>
    </row>
    <row r="508" spans="1:27" s="49" customFormat="1" ht="16.5" customHeight="1" thickBot="1" x14ac:dyDescent="0.25">
      <c r="A508" s="84">
        <v>501</v>
      </c>
      <c r="B508" s="52" t="s">
        <v>35</v>
      </c>
      <c r="C508" s="41" t="s">
        <v>36</v>
      </c>
      <c r="D508" s="41" t="s">
        <v>37</v>
      </c>
      <c r="E508" s="41" t="s">
        <v>466</v>
      </c>
      <c r="F508" s="41"/>
      <c r="G508" s="41" t="s">
        <v>533</v>
      </c>
      <c r="H508" s="46" t="s">
        <v>26</v>
      </c>
      <c r="I508" s="62"/>
      <c r="J508" s="70"/>
      <c r="K508" s="67" t="s">
        <v>28</v>
      </c>
      <c r="L508" s="41">
        <v>3</v>
      </c>
      <c r="M508" s="47"/>
      <c r="N508" s="47">
        <v>2500</v>
      </c>
      <c r="O508" s="43" t="e">
        <f t="shared" si="148"/>
        <v>#DIV/0!</v>
      </c>
      <c r="P508" s="45"/>
      <c r="Q508" s="45"/>
      <c r="R508" s="45"/>
      <c r="S508" s="48">
        <f t="shared" si="146"/>
        <v>3600</v>
      </c>
      <c r="T508" s="43">
        <f t="shared" si="147"/>
        <v>0</v>
      </c>
      <c r="U508" s="44" t="e">
        <f t="shared" si="145"/>
        <v>#DIV/0!</v>
      </c>
      <c r="V508" s="45">
        <v>382</v>
      </c>
      <c r="W508" s="45">
        <v>3225</v>
      </c>
      <c r="X508" s="45" t="s">
        <v>139</v>
      </c>
      <c r="Y508" s="45" t="s">
        <v>42</v>
      </c>
      <c r="Z508" s="1"/>
      <c r="AA508" s="1"/>
    </row>
    <row r="509" spans="1:27" s="49" customFormat="1" ht="16.5" customHeight="1" thickBot="1" x14ac:dyDescent="0.25">
      <c r="A509" s="84">
        <v>502</v>
      </c>
      <c r="B509" s="52" t="s">
        <v>35</v>
      </c>
      <c r="C509" s="41" t="s">
        <v>36</v>
      </c>
      <c r="D509" s="41" t="s">
        <v>37</v>
      </c>
      <c r="E509" s="41" t="s">
        <v>466</v>
      </c>
      <c r="F509" s="41"/>
      <c r="G509" s="41" t="s">
        <v>534</v>
      </c>
      <c r="H509" s="46" t="s">
        <v>26</v>
      </c>
      <c r="I509" s="62"/>
      <c r="J509" s="70"/>
      <c r="K509" s="67" t="s">
        <v>28</v>
      </c>
      <c r="L509" s="41">
        <v>3</v>
      </c>
      <c r="M509" s="47"/>
      <c r="N509" s="47">
        <v>2500</v>
      </c>
      <c r="O509" s="43" t="e">
        <f t="shared" si="148"/>
        <v>#DIV/0!</v>
      </c>
      <c r="P509" s="45"/>
      <c r="Q509" s="45"/>
      <c r="R509" s="45"/>
      <c r="S509" s="48">
        <f t="shared" si="146"/>
        <v>3600</v>
      </c>
      <c r="T509" s="43">
        <f t="shared" si="147"/>
        <v>0</v>
      </c>
      <c r="U509" s="44" t="e">
        <f t="shared" si="145"/>
        <v>#DIV/0!</v>
      </c>
      <c r="V509" s="45">
        <v>381</v>
      </c>
      <c r="W509" s="45">
        <v>3225</v>
      </c>
      <c r="X509" s="45" t="s">
        <v>139</v>
      </c>
      <c r="Y509" s="45" t="s">
        <v>42</v>
      </c>
      <c r="Z509" s="1"/>
      <c r="AA509" s="1"/>
    </row>
    <row r="510" spans="1:27" s="49" customFormat="1" ht="16.5" customHeight="1" thickBot="1" x14ac:dyDescent="0.25">
      <c r="A510" s="94">
        <v>503</v>
      </c>
      <c r="B510" s="52" t="s">
        <v>35</v>
      </c>
      <c r="C510" s="41" t="s">
        <v>36</v>
      </c>
      <c r="D510" s="41" t="s">
        <v>37</v>
      </c>
      <c r="E510" s="41" t="s">
        <v>466</v>
      </c>
      <c r="F510" s="41"/>
      <c r="G510" s="41" t="s">
        <v>543</v>
      </c>
      <c r="H510" s="46" t="s">
        <v>26</v>
      </c>
      <c r="I510" s="62"/>
      <c r="J510" s="77"/>
      <c r="K510" s="67" t="s">
        <v>28</v>
      </c>
      <c r="L510" s="41">
        <v>3</v>
      </c>
      <c r="M510" s="47"/>
      <c r="N510" s="47">
        <v>2500</v>
      </c>
      <c r="O510" s="43" t="e">
        <f t="shared" si="148"/>
        <v>#DIV/0!</v>
      </c>
      <c r="P510" s="55"/>
      <c r="Q510" s="55"/>
      <c r="R510" s="45"/>
      <c r="S510" s="48">
        <f t="shared" si="146"/>
        <v>3600</v>
      </c>
      <c r="T510" s="43">
        <f t="shared" si="147"/>
        <v>0</v>
      </c>
      <c r="U510" s="44" t="e">
        <f t="shared" si="145"/>
        <v>#DIV/0!</v>
      </c>
      <c r="V510" s="45">
        <v>382</v>
      </c>
      <c r="W510" s="45">
        <v>3225</v>
      </c>
      <c r="X510" s="45" t="s">
        <v>139</v>
      </c>
      <c r="Y510" s="45" t="s">
        <v>42</v>
      </c>
      <c r="Z510" s="1"/>
      <c r="AA510" s="1"/>
    </row>
    <row r="511" spans="1:27" ht="16.5" customHeight="1" thickBot="1" x14ac:dyDescent="0.3">
      <c r="A511" s="80">
        <v>504</v>
      </c>
      <c r="B511" s="10"/>
      <c r="C511" s="10"/>
      <c r="D511" s="10"/>
      <c r="E511" s="15"/>
      <c r="F511" s="15"/>
      <c r="G511" s="18"/>
      <c r="H511" s="17"/>
      <c r="I511" s="57"/>
      <c r="J511" s="78"/>
      <c r="K511" s="68"/>
      <c r="L511" s="4"/>
      <c r="M511" s="4"/>
      <c r="N511" s="19"/>
      <c r="O511" s="39"/>
      <c r="P511" s="21"/>
      <c r="Q511" s="21"/>
      <c r="R511" s="20"/>
      <c r="S511" s="13"/>
      <c r="T511" s="14"/>
      <c r="U511" s="16"/>
      <c r="V511" s="11"/>
      <c r="W511" s="11"/>
      <c r="X511" s="11"/>
      <c r="Y511" s="11"/>
    </row>
    <row r="512" spans="1:27" ht="16.5" customHeight="1" thickBot="1" x14ac:dyDescent="0.3">
      <c r="A512" s="80">
        <v>505</v>
      </c>
      <c r="B512" s="10"/>
      <c r="C512" s="10"/>
      <c r="D512" s="10"/>
      <c r="E512" s="15"/>
      <c r="F512" s="15"/>
      <c r="G512" s="18"/>
      <c r="H512" s="17"/>
      <c r="I512" s="57"/>
      <c r="J512" s="78"/>
      <c r="K512" s="68"/>
      <c r="L512" s="4"/>
      <c r="M512" s="4"/>
      <c r="N512" s="19"/>
      <c r="O512" s="39"/>
      <c r="P512" s="21"/>
      <c r="Q512" s="21"/>
      <c r="R512" s="20"/>
      <c r="S512" s="13"/>
      <c r="T512" s="14"/>
      <c r="U512" s="16"/>
      <c r="V512" s="11"/>
      <c r="W512" s="11"/>
      <c r="X512" s="11"/>
      <c r="Y512" s="11"/>
    </row>
    <row r="513" spans="1:25" ht="16.5" customHeight="1" thickBot="1" x14ac:dyDescent="0.3">
      <c r="A513">
        <v>497</v>
      </c>
      <c r="B513" s="10"/>
      <c r="C513" s="10"/>
      <c r="D513" s="10"/>
      <c r="E513" s="15"/>
      <c r="F513" s="15"/>
      <c r="G513" s="18"/>
      <c r="H513" s="17"/>
      <c r="I513" s="57"/>
      <c r="J513" s="78"/>
      <c r="K513" s="68"/>
      <c r="L513" s="4"/>
      <c r="M513" s="4"/>
      <c r="N513" s="19"/>
      <c r="O513" s="39"/>
      <c r="P513" s="21"/>
      <c r="Q513" s="21"/>
      <c r="R513" s="20"/>
      <c r="S513" s="13"/>
      <c r="T513" s="14"/>
      <c r="U513" s="16"/>
      <c r="V513" s="11"/>
      <c r="W513" s="11"/>
      <c r="X513" s="11"/>
      <c r="Y513" s="11"/>
    </row>
    <row r="514" spans="1:25" ht="16.5" customHeight="1" thickBot="1" x14ac:dyDescent="0.3">
      <c r="A514">
        <v>498</v>
      </c>
      <c r="B514" s="10"/>
      <c r="C514" s="10"/>
      <c r="D514" s="10"/>
      <c r="E514" s="15"/>
      <c r="F514" s="15"/>
      <c r="G514" s="18"/>
      <c r="H514" s="17"/>
      <c r="I514" s="57"/>
      <c r="J514" s="78"/>
      <c r="K514" s="68"/>
      <c r="L514" s="4"/>
      <c r="M514" s="4"/>
      <c r="N514" s="19"/>
      <c r="O514" s="39"/>
      <c r="P514" s="21"/>
      <c r="Q514" s="21"/>
      <c r="R514" s="20"/>
      <c r="S514" s="13"/>
      <c r="T514" s="14"/>
      <c r="U514" s="16"/>
      <c r="V514" s="11"/>
      <c r="W514" s="11"/>
      <c r="X514" s="11"/>
      <c r="Y514" s="11"/>
    </row>
    <row r="515" spans="1:25" ht="16.5" customHeight="1" thickBot="1" x14ac:dyDescent="0.3">
      <c r="A515">
        <v>499</v>
      </c>
      <c r="B515" s="10"/>
      <c r="C515" s="10"/>
      <c r="D515" s="10"/>
      <c r="E515" s="15"/>
      <c r="F515" s="15"/>
      <c r="G515" s="18"/>
      <c r="H515" s="17"/>
      <c r="I515" s="57"/>
      <c r="J515" s="78"/>
      <c r="K515" s="68"/>
      <c r="L515" s="4"/>
      <c r="M515" s="4"/>
      <c r="N515" s="4"/>
      <c r="O515" s="40"/>
      <c r="P515" s="21"/>
      <c r="Q515" s="21"/>
      <c r="R515" s="20"/>
      <c r="S515" s="13"/>
      <c r="T515" s="14"/>
      <c r="U515" s="16"/>
      <c r="V515" s="11"/>
      <c r="W515" s="11"/>
      <c r="X515" s="11"/>
      <c r="Y515" s="11"/>
    </row>
    <row r="516" spans="1:25" ht="16.5" customHeight="1" thickBot="1" x14ac:dyDescent="0.3">
      <c r="A516">
        <v>500</v>
      </c>
      <c r="B516" s="10"/>
      <c r="C516" s="10"/>
      <c r="D516" s="10"/>
      <c r="E516" s="15"/>
      <c r="F516" s="15"/>
      <c r="G516" s="18"/>
      <c r="H516" s="17"/>
      <c r="I516" s="57"/>
      <c r="J516" s="78"/>
      <c r="K516" s="68"/>
      <c r="L516" s="4"/>
      <c r="M516" s="4"/>
      <c r="N516" s="19"/>
      <c r="O516" s="39"/>
      <c r="P516" s="21"/>
      <c r="Q516" s="21"/>
      <c r="R516" s="20"/>
      <c r="S516" s="13"/>
      <c r="T516" s="14"/>
      <c r="U516" s="16"/>
      <c r="V516" s="11"/>
      <c r="W516" s="11"/>
      <c r="X516" s="11"/>
      <c r="Y516" s="11"/>
    </row>
    <row r="517" spans="1:25" ht="16.5" customHeight="1" thickBot="1" x14ac:dyDescent="0.3">
      <c r="A517" s="2"/>
      <c r="B517" s="10"/>
      <c r="C517" s="10"/>
      <c r="D517" s="10"/>
      <c r="E517" s="15"/>
      <c r="F517" s="15"/>
      <c r="G517" s="18"/>
      <c r="H517" s="17"/>
      <c r="I517" s="57"/>
      <c r="J517" s="78"/>
      <c r="K517" s="68"/>
      <c r="L517" s="4"/>
      <c r="M517" s="4"/>
      <c r="N517" s="19"/>
      <c r="O517" s="39"/>
      <c r="P517" s="21"/>
      <c r="Q517" s="21"/>
      <c r="R517" s="20"/>
      <c r="S517" s="13"/>
      <c r="T517" s="14"/>
      <c r="U517" s="16"/>
      <c r="V517" s="11"/>
      <c r="W517" s="11"/>
      <c r="X517" s="11"/>
      <c r="Y517" s="11"/>
    </row>
    <row r="518" spans="1:25" ht="17.25" customHeight="1" thickBot="1" x14ac:dyDescent="0.3">
      <c r="Q518" s="1" t="s">
        <v>564</v>
      </c>
    </row>
    <row r="519" spans="1:25" ht="16.5" customHeight="1" thickBot="1" x14ac:dyDescent="0.3">
      <c r="A519" s="53"/>
    </row>
  </sheetData>
  <sheetProtection formatCells="0" insertColumns="0" insertRows="0" deleteColumns="0" deleteRows="0" autoFilter="0"/>
  <autoFilter ref="A1:Y518">
    <filterColumn colId="3" showButton="0"/>
  </autoFilter>
  <mergeCells count="30">
    <mergeCell ref="Y1:Y2"/>
    <mergeCell ref="N1:N2"/>
    <mergeCell ref="O1:O2"/>
    <mergeCell ref="P1:P2"/>
    <mergeCell ref="Q1:Q2"/>
    <mergeCell ref="R1:R2"/>
    <mergeCell ref="S1:S2"/>
    <mergeCell ref="T1:T2"/>
    <mergeCell ref="U1:U2"/>
    <mergeCell ref="V1:V2"/>
    <mergeCell ref="W1:W2"/>
    <mergeCell ref="X1:X2"/>
    <mergeCell ref="H1:H2"/>
    <mergeCell ref="I1:I2"/>
    <mergeCell ref="K1:K2"/>
    <mergeCell ref="L1:L2"/>
    <mergeCell ref="J1:J2"/>
    <mergeCell ref="A1:A2"/>
    <mergeCell ref="B1:B2"/>
    <mergeCell ref="C1:C2"/>
    <mergeCell ref="F1:F2"/>
    <mergeCell ref="G1:G2"/>
    <mergeCell ref="D1:E1"/>
    <mergeCell ref="P474:T474"/>
    <mergeCell ref="P195:T195"/>
    <mergeCell ref="P374:T374"/>
    <mergeCell ref="P400:T400"/>
    <mergeCell ref="M1:M2"/>
    <mergeCell ref="P194:T194"/>
    <mergeCell ref="O261:R261"/>
  </mergeCells>
  <conditionalFormatting sqref="G3:G474">
    <cfRule type="expression" dxfId="43" priority="1">
      <formula>IF(V3&gt;80,"true","false")</formula>
    </cfRule>
    <cfRule type="expression" dxfId="42" priority="2">
      <formula>IF(V3&gt;89,"true","false")</formula>
    </cfRule>
    <cfRule type="expression" dxfId="41" priority="3">
      <formula>IF(V3=0,"true","false")</formula>
    </cfRule>
    <cfRule type="expression" dxfId="40" priority="4">
      <formula>IF(V3&lt;50,"true","false")</formula>
    </cfRule>
  </conditionalFormatting>
  <conditionalFormatting sqref="G475:G517">
    <cfRule type="expression" dxfId="39" priority="824">
      <formula>IF(U475&gt;89,"true","false")</formula>
    </cfRule>
    <cfRule type="expression" dxfId="38" priority="825">
      <formula>IF(U475=0,"true","false")</formula>
    </cfRule>
    <cfRule type="expression" dxfId="37" priority="826">
      <formula>IF(U475&lt;50,"true","false")</formula>
    </cfRule>
  </conditionalFormatting>
  <conditionalFormatting sqref="U3:U517">
    <cfRule type="cellIs" dxfId="36" priority="5" operator="greaterThan">
      <formula>80</formula>
    </cfRule>
  </conditionalFormatting>
  <pageMargins left="0.7" right="0.7" top="0.75" bottom="0.75" header="0.3" footer="0.3"/>
  <pageSetup scale="17" fitToHeight="0"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B1:Z17"/>
  <sheetViews>
    <sheetView rightToLeft="1" topLeftCell="B1" zoomScale="75" zoomScaleNormal="75" workbookViewId="0">
      <selection activeCell="C10" sqref="A10:XFD10"/>
    </sheetView>
  </sheetViews>
  <sheetFormatPr defaultRowHeight="15" x14ac:dyDescent="0.25"/>
  <cols>
    <col min="4" max="4" width="8" customWidth="1"/>
    <col min="26" max="26" width="11.85546875" customWidth="1"/>
  </cols>
  <sheetData>
    <row r="1" spans="2:26" ht="27" customHeight="1" x14ac:dyDescent="0.25">
      <c r="B1" s="159"/>
      <c r="C1" s="161" t="s">
        <v>8</v>
      </c>
      <c r="D1" s="169" t="s">
        <v>34</v>
      </c>
      <c r="E1" s="170"/>
      <c r="F1" s="170"/>
      <c r="G1" s="170"/>
      <c r="H1" s="170"/>
      <c r="I1" s="170"/>
      <c r="J1" s="170"/>
      <c r="K1" s="170"/>
      <c r="L1" s="170"/>
      <c r="M1" s="170"/>
      <c r="N1" s="170"/>
      <c r="O1" s="170"/>
      <c r="P1" s="170"/>
      <c r="Q1" s="170"/>
      <c r="R1" s="170"/>
      <c r="S1" s="170"/>
      <c r="T1" s="170"/>
      <c r="U1" s="170"/>
      <c r="V1" s="170"/>
      <c r="W1" s="170"/>
      <c r="X1" s="171"/>
      <c r="Y1" s="162" t="s">
        <v>29</v>
      </c>
      <c r="Z1" s="162"/>
    </row>
    <row r="2" spans="2:26" ht="24.75" customHeight="1" x14ac:dyDescent="0.25">
      <c r="B2" s="160"/>
      <c r="C2" s="161"/>
      <c r="D2" s="22">
        <v>25</v>
      </c>
      <c r="E2" s="22">
        <v>40</v>
      </c>
      <c r="F2" s="22">
        <v>50</v>
      </c>
      <c r="G2" s="22">
        <v>63</v>
      </c>
      <c r="H2" s="22">
        <v>75</v>
      </c>
      <c r="I2" s="22">
        <v>100</v>
      </c>
      <c r="J2" s="22">
        <v>112.5</v>
      </c>
      <c r="K2" s="22">
        <v>160</v>
      </c>
      <c r="L2" s="22">
        <v>200</v>
      </c>
      <c r="M2" s="22">
        <v>250</v>
      </c>
      <c r="N2" s="22">
        <v>300</v>
      </c>
      <c r="O2" s="22">
        <v>320</v>
      </c>
      <c r="P2" s="22">
        <v>500</v>
      </c>
      <c r="Q2" s="22">
        <v>630</v>
      </c>
      <c r="R2" s="22">
        <v>750</v>
      </c>
      <c r="S2" s="22">
        <v>800</v>
      </c>
      <c r="T2" s="22">
        <v>1000</v>
      </c>
      <c r="U2" s="22">
        <v>1500</v>
      </c>
      <c r="V2" s="22">
        <v>2000</v>
      </c>
      <c r="W2" s="22">
        <v>2500</v>
      </c>
      <c r="X2" s="22">
        <v>3000</v>
      </c>
      <c r="Y2" s="23" t="s">
        <v>32</v>
      </c>
      <c r="Z2" s="24" t="s">
        <v>33</v>
      </c>
    </row>
    <row r="3" spans="2:26" ht="21" customHeight="1" x14ac:dyDescent="0.25">
      <c r="B3" s="163" t="s">
        <v>23</v>
      </c>
      <c r="C3" s="33" t="s">
        <v>27</v>
      </c>
      <c r="D3" s="25">
        <f>COUNTIFS('مدينة كفر الشيخ'!$K$3:$K$881,C3,'مدينة كفر الشيخ'!$N$3:$N$881,$D$2,'مدينة كفر الشيخ'!$H$3:$H$881,$B$3)</f>
        <v>0</v>
      </c>
      <c r="E3" s="25">
        <f>COUNTIFS('مدينة كفر الشيخ'!$K$3:$K$881,$C$3,'مدينة كفر الشيخ'!$N$3:$N$881,E2,'مدينة كفر الشيخ'!$H$3:$H$881,$B$3)</f>
        <v>0</v>
      </c>
      <c r="F3" s="25">
        <f>COUNTIFS('مدينة كفر الشيخ'!$K$3:$K$881,$C$3,'مدينة كفر الشيخ'!$N$3:$N$881,F2,'مدينة كفر الشيخ'!$H$3:$H$881,$B$3)</f>
        <v>0</v>
      </c>
      <c r="G3" s="25">
        <f>COUNTIFS('مدينة كفر الشيخ'!$K$3:$K$881,$C$3,'مدينة كفر الشيخ'!$N$3:$N$881,G2,'مدينة كفر الشيخ'!$H$3:$H$881,$B$3)</f>
        <v>0</v>
      </c>
      <c r="H3" s="25">
        <f>COUNTIFS('مدينة كفر الشيخ'!$K$3:$K$881,$C$3,'مدينة كفر الشيخ'!$N$3:$N$881,H2,'مدينة كفر الشيخ'!$H$3:$H$881,$B$3)</f>
        <v>0</v>
      </c>
      <c r="I3" s="25">
        <f>COUNTIFS('مدينة كفر الشيخ'!$K$3:$K$881,$C$3,'مدينة كفر الشيخ'!$N$3:$N$881,I2,'مدينة كفر الشيخ'!$H$3:$H$881,$B$3)</f>
        <v>0</v>
      </c>
      <c r="J3" s="25">
        <f>COUNTIFS('مدينة كفر الشيخ'!$K$3:$K$881,$C$3,'مدينة كفر الشيخ'!$N$3:$N$881,J2,'مدينة كفر الشيخ'!$H$3:$H$881,$B$3)</f>
        <v>0</v>
      </c>
      <c r="K3" s="25">
        <f>COUNTIFS('مدينة كفر الشيخ'!$K$3:$K$881,$C$3,'مدينة كفر الشيخ'!$N$3:$N$881,K2,'مدينة كفر الشيخ'!$H$3:$H$881,$B$3)</f>
        <v>0</v>
      </c>
      <c r="L3" s="25">
        <f>COUNTIFS('مدينة كفر الشيخ'!$K$3:$K$881,$C$3,'مدينة كفر الشيخ'!$N$3:$N$881,L2,'مدينة كفر الشيخ'!$H$3:$H$881,$B$3)</f>
        <v>0</v>
      </c>
      <c r="M3" s="25">
        <f>COUNTIFS('مدينة كفر الشيخ'!$K$3:$K$881,$C$3,'مدينة كفر الشيخ'!$N$3:$N$881,M2,'مدينة كفر الشيخ'!$H$3:$H$881,$B$3)</f>
        <v>0</v>
      </c>
      <c r="N3" s="25">
        <f>COUNTIFS('مدينة كفر الشيخ'!$K$3:$K$881,$C$3,'مدينة كفر الشيخ'!$N$3:$N$881,N2,'مدينة كفر الشيخ'!$H$3:$H$881,$B$3)</f>
        <v>0</v>
      </c>
      <c r="O3" s="25">
        <f>COUNTIFS('مدينة كفر الشيخ'!$K$3:$K$881,$C$3,'مدينة كفر الشيخ'!$N$3:$N$881,O2,'مدينة كفر الشيخ'!$H$3:$H$881,$B$3)</f>
        <v>0</v>
      </c>
      <c r="P3" s="25">
        <f>COUNTIFS('مدينة كفر الشيخ'!$K$3:$K$881,$C$3,'مدينة كفر الشيخ'!$N$3:$N$881,P2,'مدينة كفر الشيخ'!$H$3:$H$881,$B$3)</f>
        <v>0</v>
      </c>
      <c r="Q3" s="25">
        <f>COUNTIFS('مدينة كفر الشيخ'!$K$3:$K$881,$C$3,'مدينة كفر الشيخ'!$N$3:$N$881,Q2,'مدينة كفر الشيخ'!$H$3:$H$881,$B$3)</f>
        <v>0</v>
      </c>
      <c r="R3" s="25">
        <f>COUNTIFS('مدينة كفر الشيخ'!$K$3:$K$881,$C$3,'مدينة كفر الشيخ'!$N$3:$N$881,R2,'مدينة كفر الشيخ'!$H$3:$H$881,$B$3)</f>
        <v>0</v>
      </c>
      <c r="S3" s="25">
        <f>COUNTIFS('مدينة كفر الشيخ'!$K$3:$K$881,$C$3,'مدينة كفر الشيخ'!$N$3:$N$881,S2,'مدينة كفر الشيخ'!$H$3:$H$881,$B$3)</f>
        <v>0</v>
      </c>
      <c r="T3" s="25">
        <f>COUNTIFS('مدينة كفر الشيخ'!$K$3:$K$881,$C$3,'مدينة كفر الشيخ'!$N$3:$N$881,T2,'مدينة كفر الشيخ'!$H$3:$H$881,$B$3)</f>
        <v>0</v>
      </c>
      <c r="U3" s="25">
        <f>COUNTIFS('مدينة كفر الشيخ'!$K$3:$K$881,$C$3,'مدينة كفر الشيخ'!$N$3:$N$881,U2,'مدينة كفر الشيخ'!$H$3:$H$881,$B$3)</f>
        <v>0</v>
      </c>
      <c r="V3" s="25">
        <f>COUNTIFS('مدينة كفر الشيخ'!$K$3:$K$881,$C$3,'مدينة كفر الشيخ'!$N$3:$N$881,V2,'مدينة كفر الشيخ'!$H$3:$H$881,$B$3)</f>
        <v>0</v>
      </c>
      <c r="W3" s="25">
        <f>COUNTIFS('مدينة كفر الشيخ'!$K$3:$K$881,$C$3,'مدينة كفر الشيخ'!$N$3:$N$881,W2,'مدينة كفر الشيخ'!$H$3:$H$881,$B$3)</f>
        <v>0</v>
      </c>
      <c r="X3" s="25">
        <f>COUNTIFS('مدينة كفر الشيخ'!$K$3:$K$881,$C$3,'مدينة كفر الشيخ'!$N$3:$N$881,X2,'مدينة كفر الشيخ'!$H$3:$H$881,$B$3)</f>
        <v>0</v>
      </c>
      <c r="Y3" s="25">
        <f>SUM(D3:X3)</f>
        <v>0</v>
      </c>
      <c r="Z3" s="26">
        <f t="shared" ref="Z3:Z17" si="0">$D$2*D3+$E$2*E3+$F$2*F3+$G$2*G3+$I$2*I3+$J$2*J3+$K$2*K3+$L$2*L3+$M$2*M3+$N$2*N3+$P$2*P3+$R$2*R3+$S$2*S3+$T$2*T3+$U$2*U3+$V$2*V3</f>
        <v>0</v>
      </c>
    </row>
    <row r="4" spans="2:26" ht="21" customHeight="1" x14ac:dyDescent="0.25">
      <c r="B4" s="164"/>
      <c r="C4" s="33" t="s">
        <v>24</v>
      </c>
      <c r="D4" s="25">
        <f>COUNTIFS('مدينة كفر الشيخ'!$K$3:$K$881,$C$4,'مدينة كفر الشيخ'!$N$3:$N$881,D2,'مدينة كفر الشيخ'!$H$3:$H$881,$B$3)</f>
        <v>0</v>
      </c>
      <c r="E4" s="25">
        <f>COUNTIFS('مدينة كفر الشيخ'!$K$3:$K$881,$C$4,'مدينة كفر الشيخ'!$N$3:$N$881,E2,'مدينة كفر الشيخ'!$H$3:$H$881,$B$3)</f>
        <v>0</v>
      </c>
      <c r="F4" s="25">
        <f>COUNTIFS('مدينة كفر الشيخ'!$K$3:$K$881,$C$4,'مدينة كفر الشيخ'!$N$3:$N$881,F2,'مدينة كفر الشيخ'!$H$3:$H$881,$B$3)</f>
        <v>0</v>
      </c>
      <c r="G4" s="25">
        <f>COUNTIFS('مدينة كفر الشيخ'!$K$3:$K$881,$C$4,'مدينة كفر الشيخ'!$N$3:$N$881,G2,'مدينة كفر الشيخ'!$H$3:$H$881,$B$3)</f>
        <v>0</v>
      </c>
      <c r="H4" s="25">
        <f>COUNTIFS('مدينة كفر الشيخ'!$K$3:$K$881,$C$4,'مدينة كفر الشيخ'!$N$3:$N$881,H2,'مدينة كفر الشيخ'!$H$3:$H$881,$B$3)</f>
        <v>0</v>
      </c>
      <c r="I4" s="25">
        <f>COUNTIFS('مدينة كفر الشيخ'!$K$3:$K$881,$C$4,'مدينة كفر الشيخ'!$N$3:$N$881,I2,'مدينة كفر الشيخ'!$H$3:$H$881,$B$3)</f>
        <v>0</v>
      </c>
      <c r="J4" s="25">
        <f>COUNTIFS('مدينة كفر الشيخ'!$K$3:$K$881,$C$4,'مدينة كفر الشيخ'!$N$3:$N$881,J2,'مدينة كفر الشيخ'!$H$3:$H$881,$B$3)</f>
        <v>0</v>
      </c>
      <c r="K4" s="25">
        <f>COUNTIFS('مدينة كفر الشيخ'!$K$3:$K$881,$C$4,'مدينة كفر الشيخ'!$N$3:$N$881,K2,'مدينة كفر الشيخ'!$H$3:$H$881,$B$3)</f>
        <v>0</v>
      </c>
      <c r="L4" s="25">
        <f>COUNTIFS('مدينة كفر الشيخ'!$K$3:$K$881,$C$4,'مدينة كفر الشيخ'!$N$3:$N$881,L2,'مدينة كفر الشيخ'!$H$3:$H$881,$B$3)</f>
        <v>0</v>
      </c>
      <c r="M4" s="25">
        <f>COUNTIFS('مدينة كفر الشيخ'!$K$3:$K$881,$C$4,'مدينة كفر الشيخ'!$N$3:$N$881,M2,'مدينة كفر الشيخ'!$H$3:$H$881,$B$3)</f>
        <v>0</v>
      </c>
      <c r="N4" s="25">
        <f>COUNTIFS('مدينة كفر الشيخ'!$K$3:$K$881,$C$4,'مدينة كفر الشيخ'!$N$3:$N$881,N2,'مدينة كفر الشيخ'!$H$3:$H$881,$B$3)</f>
        <v>0</v>
      </c>
      <c r="O4" s="25">
        <f>COUNTIFS('مدينة كفر الشيخ'!$K$3:$K$881,$C$4,'مدينة كفر الشيخ'!$N$3:$N$881,O2,'مدينة كفر الشيخ'!$H$3:$H$881,$B$3)</f>
        <v>0</v>
      </c>
      <c r="P4" s="25">
        <f>COUNTIFS('مدينة كفر الشيخ'!$K$3:$K$881,$C$4,'مدينة كفر الشيخ'!$N$3:$N$881,P2,'مدينة كفر الشيخ'!$H$3:$H$881,$B$3)</f>
        <v>0</v>
      </c>
      <c r="Q4" s="25">
        <f>COUNTIFS('مدينة كفر الشيخ'!$K$3:$K$881,$C$4,'مدينة كفر الشيخ'!$N$3:$N$881,Q2,'مدينة كفر الشيخ'!$H$3:$H$881,$B$3)</f>
        <v>0</v>
      </c>
      <c r="R4" s="25">
        <f>COUNTIFS('مدينة كفر الشيخ'!$K$3:$K$881,$C$4,'مدينة كفر الشيخ'!$N$3:$N$881,R2,'مدينة كفر الشيخ'!$H$3:$H$881,$B$3)</f>
        <v>0</v>
      </c>
      <c r="S4" s="25">
        <f>COUNTIFS('مدينة كفر الشيخ'!$K$3:$K$881,$C$4,'مدينة كفر الشيخ'!$N$3:$N$881,S2,'مدينة كفر الشيخ'!$H$3:$H$881,$B$3)</f>
        <v>0</v>
      </c>
      <c r="T4" s="25">
        <f>COUNTIFS('مدينة كفر الشيخ'!$K$3:$K$881,$C$4,'مدينة كفر الشيخ'!$N$3:$N$881,T2,'مدينة كفر الشيخ'!$H$3:$H$881,$B$3)</f>
        <v>0</v>
      </c>
      <c r="U4" s="25">
        <f>COUNTIFS('مدينة كفر الشيخ'!$K$3:$K$881,$C$4,'مدينة كفر الشيخ'!$N$3:$N$881,U2,'مدينة كفر الشيخ'!$H$3:$H$881,$B$3)</f>
        <v>0</v>
      </c>
      <c r="V4" s="25">
        <f>COUNTIFS('مدينة كفر الشيخ'!$K$3:$K$881,$C$4,'مدينة كفر الشيخ'!$N$3:$N$881,V2,'مدينة كفر الشيخ'!$H$3:$H$881,$B$3)</f>
        <v>0</v>
      </c>
      <c r="W4" s="25">
        <f>COUNTIFS('مدينة كفر الشيخ'!$K$3:$K$881,$C$4,'مدينة كفر الشيخ'!$N$3:$N$881,W2,'مدينة كفر الشيخ'!$H$3:$H$881,$B$3)</f>
        <v>0</v>
      </c>
      <c r="X4" s="25">
        <f>COUNTIFS('مدينة كفر الشيخ'!$K$3:$K$881,$C$4,'مدينة كفر الشيخ'!$N$3:$N$881,X2,'مدينة كفر الشيخ'!$H$3:$H$881,$B$3)</f>
        <v>0</v>
      </c>
      <c r="Y4" s="25">
        <f t="shared" ref="Y4:Y17" si="1">SUM(D4:X4)</f>
        <v>0</v>
      </c>
      <c r="Z4" s="26">
        <f t="shared" si="0"/>
        <v>0</v>
      </c>
    </row>
    <row r="5" spans="2:26" ht="20.25" customHeight="1" x14ac:dyDescent="0.25">
      <c r="B5" s="164"/>
      <c r="C5" s="33" t="s">
        <v>28</v>
      </c>
      <c r="D5" s="25">
        <f>COUNTIFS('مدينة كفر الشيخ'!$K$3:$K$881,$C$5,'مدينة كفر الشيخ'!$N$3:$N$881,D2,'مدينة كفر الشيخ'!$H$3:$H$881,$B$3)</f>
        <v>0</v>
      </c>
      <c r="E5" s="25">
        <f>COUNTIFS('مدينة كفر الشيخ'!$K$3:$K$881,$C$5,'مدينة كفر الشيخ'!$N$3:$N$881,E2,'مدينة كفر الشيخ'!$H$3:$H$881,$B$3)</f>
        <v>0</v>
      </c>
      <c r="F5" s="25">
        <f>COUNTIFS('مدينة كفر الشيخ'!$K$3:$K$881,$C$5,'مدينة كفر الشيخ'!$N$3:$N$881,F2,'مدينة كفر الشيخ'!$H$3:$H$881,$B$3)</f>
        <v>0</v>
      </c>
      <c r="G5" s="25">
        <f>COUNTIFS('مدينة كفر الشيخ'!$K$3:$K$881,$C$5,'مدينة كفر الشيخ'!$N$3:$N$881,G2,'مدينة كفر الشيخ'!$H$3:$H$881,$B$3)</f>
        <v>1</v>
      </c>
      <c r="H5" s="25">
        <f>COUNTIFS('مدينة كفر الشيخ'!$K$3:$K$881,$C$5,'مدينة كفر الشيخ'!$N$3:$N$881,H2,'مدينة كفر الشيخ'!$H$3:$H$881,$B$3)</f>
        <v>0</v>
      </c>
      <c r="I5" s="25">
        <f>COUNTIFS('مدينة كفر الشيخ'!$K$3:$K$881,$C$5,'مدينة كفر الشيخ'!$N$3:$N$881,I2,'مدينة كفر الشيخ'!$H$3:$H$881,$B$3)</f>
        <v>6</v>
      </c>
      <c r="J5" s="25">
        <f>COUNTIFS('مدينة كفر الشيخ'!$K$3:$K$881,$C$5,'مدينة كفر الشيخ'!$N$3:$N$881,J2,'مدينة كفر الشيخ'!$H$3:$H$881,$B$3)</f>
        <v>0</v>
      </c>
      <c r="K5" s="25">
        <f>COUNTIFS('مدينة كفر الشيخ'!$K$3:$K$881,$C$5,'مدينة كفر الشيخ'!$N$3:$N$881,K2,'مدينة كفر الشيخ'!$H$3:$H$881,$B$3)</f>
        <v>0</v>
      </c>
      <c r="L5" s="25">
        <f>COUNTIFS('مدينة كفر الشيخ'!$K$3:$K$881,$C$5,'مدينة كفر الشيخ'!$N$3:$N$881,L2,'مدينة كفر الشيخ'!$H$3:$H$881,$B$3)</f>
        <v>4</v>
      </c>
      <c r="M5" s="25">
        <f>COUNTIFS('مدينة كفر الشيخ'!$K$3:$K$881,$C$5,'مدينة كفر الشيخ'!$N$3:$N$881,M2,'مدينة كفر الشيخ'!$H$3:$H$881,$B$3)</f>
        <v>0</v>
      </c>
      <c r="N5" s="25">
        <f>COUNTIFS('مدينة كفر الشيخ'!$K$3:$K$881,$C$5,'مدينة كفر الشيخ'!$N$3:$N$881,N2,'مدينة كفر الشيخ'!$H$3:$H$881,$B$3)</f>
        <v>23</v>
      </c>
      <c r="O5" s="25">
        <f>COUNTIFS('مدينة كفر الشيخ'!$K$3:$K$881,$C$5,'مدينة كفر الشيخ'!$N$3:$N$881,O2,'مدينة كفر الشيخ'!$H$3:$H$881,$B$3)</f>
        <v>0</v>
      </c>
      <c r="P5" s="25">
        <f>COUNTIFS('مدينة كفر الشيخ'!$K$3:$K$881,$C$5,'مدينة كفر الشيخ'!$N$3:$N$881,P2,'مدينة كفر الشيخ'!$H$3:$H$881,$B$3)</f>
        <v>34</v>
      </c>
      <c r="Q5" s="25">
        <f>COUNTIFS('مدينة كفر الشيخ'!$K$3:$K$881,$C$5,'مدينة كفر الشيخ'!$N$3:$N$881,Q2,'مدينة كفر الشيخ'!$H$3:$H$881,$B$3)</f>
        <v>0</v>
      </c>
      <c r="R5" s="25">
        <f>COUNTIFS('مدينة كفر الشيخ'!$K$3:$K$881,$C$5,'مدينة كفر الشيخ'!$N$3:$N$881,R2,'مدينة كفر الشيخ'!$H$3:$H$881,$B$3)</f>
        <v>0</v>
      </c>
      <c r="S5" s="25">
        <f>COUNTIFS('مدينة كفر الشيخ'!$K$3:$K$881,$C$5,'مدينة كفر الشيخ'!$N$3:$N$881,S2,'مدينة كفر الشيخ'!$H$3:$H$881,$B$3)</f>
        <v>20</v>
      </c>
      <c r="T5" s="25">
        <f>COUNTIFS('مدينة كفر الشيخ'!$K$3:$K$881,$C$5,'مدينة كفر الشيخ'!$N$3:$N$881,T2,'مدينة كفر الشيخ'!$H$3:$H$881,$B$3)</f>
        <v>59</v>
      </c>
      <c r="U5" s="25">
        <f>COUNTIFS('مدينة كفر الشيخ'!$K$3:$K$881,$C$5,'مدينة كفر الشيخ'!$N$3:$N$881,U2,'مدينة كفر الشيخ'!$H$3:$H$881,$B$3)</f>
        <v>13</v>
      </c>
      <c r="V5" s="25">
        <f>COUNTIFS('مدينة كفر الشيخ'!$K$3:$K$881,$C$5,'مدينة كفر الشيخ'!$N$3:$N$881,V2,'مدينة كفر الشيخ'!$H$3:$H$881,$B$3)</f>
        <v>0</v>
      </c>
      <c r="W5" s="25">
        <f>COUNTIFS('مدينة كفر الشيخ'!$K$3:$K$881,$C$5,'مدينة كفر الشيخ'!$N$3:$N$881,W2,'مدينة كفر الشيخ'!$H$3:$H$881,$B$3)</f>
        <v>0</v>
      </c>
      <c r="X5" s="25">
        <f>COUNTIFS('مدينة كفر الشيخ'!$K$3:$K$881,$C$5,'مدينة كفر الشيخ'!$N$3:$N$881,X2,'مدينة كفر الشيخ'!$H$3:$H$881,$B$3)</f>
        <v>0</v>
      </c>
      <c r="Y5" s="25">
        <f t="shared" si="1"/>
        <v>160</v>
      </c>
      <c r="Z5" s="26">
        <f t="shared" si="0"/>
        <v>119863</v>
      </c>
    </row>
    <row r="6" spans="2:26" ht="20.25" customHeight="1" x14ac:dyDescent="0.25">
      <c r="B6" s="164"/>
      <c r="C6" s="33" t="s">
        <v>25</v>
      </c>
      <c r="D6" s="25">
        <f>COUNTIFS('مدينة كفر الشيخ'!$K$3:$K$881,$C$6,'مدينة كفر الشيخ'!$N$3:$N$881,D2,'مدينة كفر الشيخ'!$H$3:$H$881,$B$3)</f>
        <v>0</v>
      </c>
      <c r="E6" s="25">
        <f>COUNTIFS('مدينة كفر الشيخ'!$K$3:$K$881,$C$6,'مدينة كفر الشيخ'!$N$3:$N$881,E2,'مدينة كفر الشيخ'!$H$3:$H$881,$B$3)</f>
        <v>0</v>
      </c>
      <c r="F6" s="25">
        <f>COUNTIFS('مدينة كفر الشيخ'!$K$3:$K$881,$C$6,'مدينة كفر الشيخ'!$N$3:$N$881,F2,'مدينة كفر الشيخ'!$H$3:$H$881,$B$3)</f>
        <v>0</v>
      </c>
      <c r="G6" s="25">
        <f>COUNTIFS('مدينة كفر الشيخ'!$K$3:$K$881,$C$6,'مدينة كفر الشيخ'!$N$3:$N$881,G2,'مدينة كفر الشيخ'!$H$3:$H$881,$B$3)</f>
        <v>0</v>
      </c>
      <c r="H6" s="25">
        <f>COUNTIFS('مدينة كفر الشيخ'!$K$3:$K$881,$C$6,'مدينة كفر الشيخ'!$N$3:$N$881,H2,'مدينة كفر الشيخ'!$H$3:$H$881,$B$3)</f>
        <v>0</v>
      </c>
      <c r="I6" s="25">
        <f>COUNTIFS('مدينة كفر الشيخ'!$K$3:$K$881,$C$6,'مدينة كفر الشيخ'!$N$3:$N$881,I2,'مدينة كفر الشيخ'!$H$3:$H$881,$B$3)</f>
        <v>1</v>
      </c>
      <c r="J6" s="25">
        <f>COUNTIFS('مدينة كفر الشيخ'!$K$3:$K$881,$C$6,'مدينة كفر الشيخ'!$N$3:$N$881,J2,'مدينة كفر الشيخ'!$H$3:$H$881,$B$3)</f>
        <v>0</v>
      </c>
      <c r="K6" s="25">
        <f>COUNTIFS('مدينة كفر الشيخ'!$K$3:$K$881,$C$6,'مدينة كفر الشيخ'!$N$3:$N$881,K2,'مدينة كفر الشيخ'!$H$3:$H$881,$B$3)</f>
        <v>0</v>
      </c>
      <c r="L6" s="25">
        <f>COUNTIFS('مدينة كفر الشيخ'!$K$3:$K$881,$C$6,'مدينة كفر الشيخ'!$N$3:$N$881,L2,'مدينة كفر الشيخ'!$H$3:$H$881,$B$3)</f>
        <v>4</v>
      </c>
      <c r="M6" s="25">
        <f>COUNTIFS('مدينة كفر الشيخ'!$K$3:$K$881,$C$6,'مدينة كفر الشيخ'!$N$3:$N$881,M2,'مدينة كفر الشيخ'!$H$3:$H$881,$B$3)</f>
        <v>8</v>
      </c>
      <c r="N6" s="25">
        <f>COUNTIFS('مدينة كفر الشيخ'!$K$3:$K$881,$C$6,'مدينة كفر الشيخ'!$N$3:$N$881,N2,'مدينة كفر الشيخ'!$H$3:$H$881,$B$3)</f>
        <v>11</v>
      </c>
      <c r="O6" s="25">
        <f>COUNTIFS('مدينة كفر الشيخ'!$K$3:$K$881,$C$6,'مدينة كفر الشيخ'!$N$3:$N$881,O2,'مدينة كفر الشيخ'!$H$3:$H$881,$B$3)</f>
        <v>0</v>
      </c>
      <c r="P6" s="25">
        <f>COUNTIFS('مدينة كفر الشيخ'!$K$3:$K$881,$C$6,'مدينة كفر الشيخ'!$N$3:$N$881,P2,'مدينة كفر الشيخ'!$H$3:$H$881,$B$3)</f>
        <v>72</v>
      </c>
      <c r="Q6" s="25">
        <f>COUNTIFS('مدينة كفر الشيخ'!$K$3:$K$881,$C$6,'مدينة كفر الشيخ'!$N$3:$N$881,Q2,'مدينة كفر الشيخ'!$H$3:$H$881,$B$3)</f>
        <v>0</v>
      </c>
      <c r="R6" s="25">
        <f>COUNTIFS('مدينة كفر الشيخ'!$K$3:$K$881,$C$6,'مدينة كفر الشيخ'!$N$3:$N$881,R2,'مدينة كفر الشيخ'!$H$3:$H$881,$B$3)</f>
        <v>0</v>
      </c>
      <c r="S6" s="25">
        <f>COUNTIFS('مدينة كفر الشيخ'!$K$3:$K$881,$C$6,'مدينة كفر الشيخ'!$N$3:$N$881,S2,'مدينة كفر الشيخ'!$H$3:$H$881,$B$3)</f>
        <v>25</v>
      </c>
      <c r="T6" s="25">
        <f>COUNTIFS('مدينة كفر الشيخ'!$K$3:$K$881,$C$6,'مدينة كفر الشيخ'!$N$3:$N$881,T2,'مدينة كفر الشيخ'!$H$3:$H$881,$B$3)</f>
        <v>59</v>
      </c>
      <c r="U6" s="25">
        <f>COUNTIFS('مدينة كفر الشيخ'!$K$3:$K$881,$C$6,'مدينة كفر الشيخ'!$N$3:$N$881,U2,'مدينة كفر الشيخ'!$H$3:$H$881,$B$3)</f>
        <v>0</v>
      </c>
      <c r="V6" s="25">
        <f>COUNTIFS('مدينة كفر الشيخ'!$K$3:$K$881,$C$6,'مدينة كفر الشيخ'!$N$3:$N$881,V2,'مدينة كفر الشيخ'!$H$3:$H$881,$B$3)</f>
        <v>0</v>
      </c>
      <c r="W6" s="25">
        <f>COUNTIFS('مدينة كفر الشيخ'!$K$3:$K$881,$C$6,'مدينة كفر الشيخ'!$N$3:$N$881,W2,'مدينة كفر الشيخ'!$H$3:$H$881,$B$3)</f>
        <v>0</v>
      </c>
      <c r="X6" s="25">
        <f>COUNTIFS('مدينة كفر الشيخ'!$K$3:$K$881,$C$6,'مدينة كفر الشيخ'!$N$3:$N$881,X2,'مدينة كفر الشيخ'!$H$3:$H$881,$B$3)</f>
        <v>0</v>
      </c>
      <c r="Y6" s="25">
        <f t="shared" si="1"/>
        <v>180</v>
      </c>
      <c r="Z6" s="26">
        <f t="shared" si="0"/>
        <v>121200</v>
      </c>
    </row>
    <row r="7" spans="2:26" ht="19.5" customHeight="1" x14ac:dyDescent="0.25">
      <c r="B7" s="165"/>
      <c r="C7" s="34" t="s">
        <v>30</v>
      </c>
      <c r="D7" s="27">
        <f t="shared" ref="D7:X7" si="2">SUM(D3:D6)</f>
        <v>0</v>
      </c>
      <c r="E7" s="27">
        <f t="shared" si="2"/>
        <v>0</v>
      </c>
      <c r="F7" s="27">
        <f t="shared" si="2"/>
        <v>0</v>
      </c>
      <c r="G7" s="27">
        <f t="shared" si="2"/>
        <v>1</v>
      </c>
      <c r="H7" s="27">
        <f t="shared" si="2"/>
        <v>0</v>
      </c>
      <c r="I7" s="27">
        <f t="shared" si="2"/>
        <v>7</v>
      </c>
      <c r="J7" s="27">
        <f t="shared" si="2"/>
        <v>0</v>
      </c>
      <c r="K7" s="27">
        <f t="shared" si="2"/>
        <v>0</v>
      </c>
      <c r="L7" s="27">
        <f t="shared" si="2"/>
        <v>8</v>
      </c>
      <c r="M7" s="27">
        <f t="shared" si="2"/>
        <v>8</v>
      </c>
      <c r="N7" s="27">
        <f t="shared" si="2"/>
        <v>34</v>
      </c>
      <c r="O7" s="27">
        <f>SUM(O3:O6)</f>
        <v>0</v>
      </c>
      <c r="P7" s="27">
        <f t="shared" si="2"/>
        <v>106</v>
      </c>
      <c r="Q7" s="27">
        <f>SUM(Q3:Q6)</f>
        <v>0</v>
      </c>
      <c r="R7" s="27">
        <f t="shared" si="2"/>
        <v>0</v>
      </c>
      <c r="S7" s="27">
        <f t="shared" si="2"/>
        <v>45</v>
      </c>
      <c r="T7" s="27">
        <f t="shared" si="2"/>
        <v>118</v>
      </c>
      <c r="U7" s="27">
        <f t="shared" si="2"/>
        <v>13</v>
      </c>
      <c r="V7" s="27">
        <f t="shared" si="2"/>
        <v>0</v>
      </c>
      <c r="W7" s="27">
        <f t="shared" si="2"/>
        <v>0</v>
      </c>
      <c r="X7" s="27">
        <f t="shared" si="2"/>
        <v>0</v>
      </c>
      <c r="Y7" s="27">
        <f t="shared" si="1"/>
        <v>340</v>
      </c>
      <c r="Z7" s="27">
        <f t="shared" si="0"/>
        <v>241063</v>
      </c>
    </row>
    <row r="8" spans="2:26" ht="20.25" customHeight="1" x14ac:dyDescent="0.25">
      <c r="B8" s="166" t="s">
        <v>26</v>
      </c>
      <c r="C8" s="35" t="s">
        <v>27</v>
      </c>
      <c r="D8" s="28">
        <f>COUNTIFS('مدينة كفر الشيخ'!$K$3:$K$881,$C$8,'مدينة كفر الشيخ'!$N$3:$N$881,D2,'مدينة كفر الشيخ'!$H$3:$H$881,$B$8)</f>
        <v>0</v>
      </c>
      <c r="E8" s="28">
        <f>COUNTIFS('مدينة كفر الشيخ'!$K$3:$K$881,$C$8,'مدينة كفر الشيخ'!$N$3:$N$881,E2,'مدينة كفر الشيخ'!$H$3:$H$881,$B$8)</f>
        <v>0</v>
      </c>
      <c r="F8" s="28">
        <f>COUNTIFS('مدينة كفر الشيخ'!$K$3:$K$881,$C$8,'مدينة كفر الشيخ'!$N$3:$N$881,F2,'مدينة كفر الشيخ'!$H$3:$H$881,$B$8)</f>
        <v>0</v>
      </c>
      <c r="G8" s="28">
        <f>COUNTIFS('مدينة كفر الشيخ'!$K$3:$K$881,$C$8,'مدينة كفر الشيخ'!$N$3:$N$881,G2,'مدينة كفر الشيخ'!$H$3:$H$881,$B$8)</f>
        <v>0</v>
      </c>
      <c r="H8" s="28">
        <f>COUNTIFS('مدينة كفر الشيخ'!$K$3:$K$881,$C$8,'مدينة كفر الشيخ'!$N$3:$N$881,H2,'مدينة كفر الشيخ'!$H$3:$H$881,$B$8)</f>
        <v>0</v>
      </c>
      <c r="I8" s="28">
        <f>COUNTIFS('مدينة كفر الشيخ'!$K$3:$K$881,$C$8,'مدينة كفر الشيخ'!$N$3:$N$881,I2,'مدينة كفر الشيخ'!$H$3:$H$881,$B$8)</f>
        <v>0</v>
      </c>
      <c r="J8" s="28">
        <f>COUNTIFS('مدينة كفر الشيخ'!$K$3:$K$881,$C$8,'مدينة كفر الشيخ'!$N$3:$N$881,J2,'مدينة كفر الشيخ'!$H$3:$H$881,$B$8)</f>
        <v>0</v>
      </c>
      <c r="K8" s="28">
        <f>COUNTIFS('مدينة كفر الشيخ'!$K$3:$K$881,$C$8,'مدينة كفر الشيخ'!$N$3:$N$881,K2,'مدينة كفر الشيخ'!$H$3:$H$881,$B$8)</f>
        <v>0</v>
      </c>
      <c r="L8" s="28">
        <f>COUNTIFS('مدينة كفر الشيخ'!$K$3:$K$881,$C$8,'مدينة كفر الشيخ'!$N$3:$N$881,L2,'مدينة كفر الشيخ'!$H$3:$H$881,$B$8)</f>
        <v>0</v>
      </c>
      <c r="M8" s="28">
        <f>COUNTIFS('مدينة كفر الشيخ'!$K$3:$K$881,$C$8,'مدينة كفر الشيخ'!$N$3:$N$881,M2,'مدينة كفر الشيخ'!$H$3:$H$881,$B$8)</f>
        <v>0</v>
      </c>
      <c r="N8" s="28">
        <f>COUNTIFS('مدينة كفر الشيخ'!$K$3:$K$881,$C$8,'مدينة كفر الشيخ'!$N$3:$N$881,N2,'مدينة كفر الشيخ'!$H$3:$H$881,$B$8)</f>
        <v>0</v>
      </c>
      <c r="O8" s="28">
        <f>COUNTIFS('مدينة كفر الشيخ'!$K$3:$K$881,$C$8,'مدينة كفر الشيخ'!$N$3:$N$881,O2,'مدينة كفر الشيخ'!$H$3:$H$881,$B$8)</f>
        <v>0</v>
      </c>
      <c r="P8" s="28">
        <f>COUNTIFS('مدينة كفر الشيخ'!$K$3:$K$881,$C$8,'مدينة كفر الشيخ'!$N$3:$N$881,P2,'مدينة كفر الشيخ'!$H$3:$H$881,$B$8)</f>
        <v>0</v>
      </c>
      <c r="Q8" s="28">
        <f>COUNTIFS('مدينة كفر الشيخ'!$K$3:$K$881,$C$8,'مدينة كفر الشيخ'!$N$3:$N$881,Q2,'مدينة كفر الشيخ'!$H$3:$H$881,$B$8)</f>
        <v>0</v>
      </c>
      <c r="R8" s="28">
        <f>COUNTIFS('مدينة كفر الشيخ'!$K$3:$K$881,$C$8,'مدينة كفر الشيخ'!$N$3:$N$881,R2,'مدينة كفر الشيخ'!$H$3:$H$881,$B$8)</f>
        <v>0</v>
      </c>
      <c r="S8" s="28">
        <f>COUNTIFS('مدينة كفر الشيخ'!$K$3:$K$881,$C$8,'مدينة كفر الشيخ'!$N$3:$N$881,S2,'مدينة كفر الشيخ'!$H$3:$H$881,$B$8)</f>
        <v>0</v>
      </c>
      <c r="T8" s="28">
        <f>COUNTIFS('مدينة كفر الشيخ'!$K$3:$K$881,$C$8,'مدينة كفر الشيخ'!$N$3:$N$881,T2,'مدينة كفر الشيخ'!$H$3:$H$881,$B$8)</f>
        <v>0</v>
      </c>
      <c r="U8" s="28">
        <f>COUNTIFS('مدينة كفر الشيخ'!$K$3:$K$881,$C$8,'مدينة كفر الشيخ'!$N$3:$N$881,U2,'مدينة كفر الشيخ'!$H$3:$H$881,$B$8)</f>
        <v>0</v>
      </c>
      <c r="V8" s="28">
        <f>COUNTIFS('مدينة كفر الشيخ'!$K$3:$K$881,$C$8,'مدينة كفر الشيخ'!$N$3:$N$881,V2,'مدينة كفر الشيخ'!$H$3:$H$881,$B$8)</f>
        <v>0</v>
      </c>
      <c r="W8" s="28">
        <f>COUNTIFS('مدينة كفر الشيخ'!$K$3:$K$881,$C$8,'مدينة كفر الشيخ'!$N$3:$N$881,W2,'مدينة كفر الشيخ'!$H$3:$H$881,$B$8)</f>
        <v>0</v>
      </c>
      <c r="X8" s="28">
        <f>COUNTIFS('مدينة كفر الشيخ'!$K$3:$K$881,$C$8,'مدينة كفر الشيخ'!$N$3:$N$881,X2,'مدينة كفر الشيخ'!$H$3:$H$881,$B$8)</f>
        <v>0</v>
      </c>
      <c r="Y8" s="25">
        <f t="shared" si="1"/>
        <v>0</v>
      </c>
      <c r="Z8" s="26">
        <f t="shared" si="0"/>
        <v>0</v>
      </c>
    </row>
    <row r="9" spans="2:26" ht="21" customHeight="1" x14ac:dyDescent="0.25">
      <c r="B9" s="167"/>
      <c r="C9" s="35" t="s">
        <v>24</v>
      </c>
      <c r="D9" s="28">
        <f>COUNTIFS('مدينة كفر الشيخ'!$K$3:$K$881,$C$9,'مدينة كفر الشيخ'!$N$3:$N$881,D2,'مدينة كفر الشيخ'!$H$3:$H$881,$B$8)</f>
        <v>0</v>
      </c>
      <c r="E9" s="28">
        <f>COUNTIFS('مدينة كفر الشيخ'!$K$3:$K$881,$C$9,'مدينة كفر الشيخ'!$N$3:$N$881,E2,'مدينة كفر الشيخ'!$H$3:$H$881,$B$8)</f>
        <v>0</v>
      </c>
      <c r="F9" s="28">
        <f>COUNTIFS('مدينة كفر الشيخ'!$K$3:$K$881,$C$9,'مدينة كفر الشيخ'!$N$3:$N$881,F2,'مدينة كفر الشيخ'!$H$3:$H$881,$B$8)</f>
        <v>0</v>
      </c>
      <c r="G9" s="28">
        <f>COUNTIFS('مدينة كفر الشيخ'!$K$3:$K$881,$C$9,'مدينة كفر الشيخ'!$N$3:$N$881,G2,'مدينة كفر الشيخ'!$H$3:$H$881,$B$8)</f>
        <v>0</v>
      </c>
      <c r="H9" s="28">
        <f>COUNTIFS('مدينة كفر الشيخ'!$K$3:$K$881,$C$9,'مدينة كفر الشيخ'!$N$3:$N$881,H2,'مدينة كفر الشيخ'!$H$3:$H$881,$B$8)</f>
        <v>0</v>
      </c>
      <c r="I9" s="28">
        <f>COUNTIFS('مدينة كفر الشيخ'!$K$3:$K$881,$C$9,'مدينة كفر الشيخ'!$N$3:$N$881,I2,'مدينة كفر الشيخ'!$H$3:$H$881,$B$8)</f>
        <v>0</v>
      </c>
      <c r="J9" s="28">
        <f>COUNTIFS('مدينة كفر الشيخ'!$K$3:$K$881,$C$9,'مدينة كفر الشيخ'!$N$3:$N$881,J2,'مدينة كفر الشيخ'!$H$3:$H$881,$B$8)</f>
        <v>0</v>
      </c>
      <c r="K9" s="28">
        <f>COUNTIFS('مدينة كفر الشيخ'!$K$3:$K$881,$C$9,'مدينة كفر الشيخ'!$N$3:$N$881,K2,'مدينة كفر الشيخ'!$H$3:$H$881,$B$8)</f>
        <v>0</v>
      </c>
      <c r="L9" s="28">
        <f>COUNTIFS('مدينة كفر الشيخ'!$K$3:$K$881,$C$9,'مدينة كفر الشيخ'!$N$3:$N$881,L2,'مدينة كفر الشيخ'!$H$3:$H$881,$B$8)</f>
        <v>0</v>
      </c>
      <c r="M9" s="28">
        <f>COUNTIFS('مدينة كفر الشيخ'!$K$3:$K$881,$C$9,'مدينة كفر الشيخ'!$N$3:$N$881,M2,'مدينة كفر الشيخ'!$H$3:$H$881,$B$8)</f>
        <v>0</v>
      </c>
      <c r="N9" s="28">
        <f>COUNTIFS('مدينة كفر الشيخ'!$K$3:$K$881,$C$9,'مدينة كفر الشيخ'!$N$3:$N$881,N2,'مدينة كفر الشيخ'!$H$3:$H$881,$B$8)</f>
        <v>0</v>
      </c>
      <c r="O9" s="28">
        <f>COUNTIFS('مدينة كفر الشيخ'!$K$3:$K$881,$C$9,'مدينة كفر الشيخ'!$N$3:$N$881,O2,'مدينة كفر الشيخ'!$H$3:$H$881,$B$8)</f>
        <v>0</v>
      </c>
      <c r="P9" s="28">
        <f>COUNTIFS('مدينة كفر الشيخ'!$K$3:$K$881,$C$9,'مدينة كفر الشيخ'!$N$3:$N$881,P2,'مدينة كفر الشيخ'!$H$3:$H$881,$B$8)</f>
        <v>0</v>
      </c>
      <c r="Q9" s="28">
        <f>COUNTIFS('مدينة كفر الشيخ'!$K$3:$K$881,$C$9,'مدينة كفر الشيخ'!$N$3:$N$881,Q2,'مدينة كفر الشيخ'!$H$3:$H$881,$B$8)</f>
        <v>0</v>
      </c>
      <c r="R9" s="28">
        <f>COUNTIFS('مدينة كفر الشيخ'!$K$3:$K$881,$C$9,'مدينة كفر الشيخ'!$N$3:$N$881,R2,'مدينة كفر الشيخ'!$H$3:$H$881,$B$8)</f>
        <v>0</v>
      </c>
      <c r="S9" s="28">
        <f>COUNTIFS('مدينة كفر الشيخ'!$K$3:$K$881,$C$9,'مدينة كفر الشيخ'!$N$3:$N$881,S2,'مدينة كفر الشيخ'!$H$3:$H$881,$B$8)</f>
        <v>0</v>
      </c>
      <c r="T9" s="28">
        <f>COUNTIFS('مدينة كفر الشيخ'!$K$3:$K$881,$C$9,'مدينة كفر الشيخ'!$N$3:$N$881,T2,'مدينة كفر الشيخ'!$H$3:$H$881,$B$8)</f>
        <v>0</v>
      </c>
      <c r="U9" s="28">
        <f>COUNTIFS('مدينة كفر الشيخ'!$K$3:$K$881,$C$9,'مدينة كفر الشيخ'!$N$3:$N$881,U2,'مدينة كفر الشيخ'!$H$3:$H$881,$B$8)</f>
        <v>0</v>
      </c>
      <c r="V9" s="28">
        <f>COUNTIFS('مدينة كفر الشيخ'!$K$3:$K$881,$C$9,'مدينة كفر الشيخ'!$N$3:$N$881,V2,'مدينة كفر الشيخ'!$H$3:$H$881,$B$8)</f>
        <v>0</v>
      </c>
      <c r="W9" s="28">
        <f>COUNTIFS('مدينة كفر الشيخ'!$K$3:$K$881,$C$9,'مدينة كفر الشيخ'!$N$3:$N$881,W2,'مدينة كفر الشيخ'!$H$3:$H$881,$B$8)</f>
        <v>0</v>
      </c>
      <c r="X9" s="28">
        <f>COUNTIFS('مدينة كفر الشيخ'!$K$3:$K$881,$C$9,'مدينة كفر الشيخ'!$N$3:$N$881,X2,'مدينة كفر الشيخ'!$H$3:$H$881,$B$8)</f>
        <v>0</v>
      </c>
      <c r="Y9" s="25">
        <f t="shared" si="1"/>
        <v>0</v>
      </c>
      <c r="Z9" s="26">
        <f t="shared" si="0"/>
        <v>0</v>
      </c>
    </row>
    <row r="10" spans="2:26" ht="21" customHeight="1" x14ac:dyDescent="0.25">
      <c r="B10" s="167"/>
      <c r="C10" s="35" t="s">
        <v>28</v>
      </c>
      <c r="D10" s="28">
        <f>COUNTIFS('مدينة كفر الشيخ'!$K$3:$K$881,$C$10,'مدينة كفر الشيخ'!$N$3:$N$881,D2,'مدينة كفر الشيخ'!$H$3:$H$881,$B$8)</f>
        <v>0</v>
      </c>
      <c r="E10" s="28">
        <f>COUNTIFS('مدينة كفر الشيخ'!$K$3:$K$881,$C$10,'مدينة كفر الشيخ'!$N$3:$N$881,E2,'مدينة كفر الشيخ'!$H$3:$H$881,$B$8)</f>
        <v>0</v>
      </c>
      <c r="F10" s="28">
        <f>COUNTIFS('مدينة كفر الشيخ'!$K$3:$K$881,$C$10,'مدينة كفر الشيخ'!$N$3:$N$881,F2,'مدينة كفر الشيخ'!$H$3:$H$881,$B$8)</f>
        <v>0</v>
      </c>
      <c r="G10" s="28">
        <f>COUNTIFS('مدينة كفر الشيخ'!$K$3:$K$881,$C$10,'مدينة كفر الشيخ'!$N$3:$N$881,G2,'مدينة كفر الشيخ'!$H$3:$H$881,$B$8)</f>
        <v>0</v>
      </c>
      <c r="H10" s="28">
        <f>COUNTIFS('مدينة كفر الشيخ'!$K$3:$K$881,$C$10,'مدينة كفر الشيخ'!$N$3:$N$881,H2,'مدينة كفر الشيخ'!$H$3:$H$881,$B$8)</f>
        <v>0</v>
      </c>
      <c r="I10" s="28">
        <f>COUNTIFS('مدينة كفر الشيخ'!$K$3:$K$881,$C$10,'مدينة كفر الشيخ'!$N$3:$N$881,I2,'مدينة كفر الشيخ'!$H$3:$H$881,$B$8)</f>
        <v>5</v>
      </c>
      <c r="J10" s="28">
        <f>COUNTIFS('مدينة كفر الشيخ'!$K$3:$K$881,$C$10,'مدينة كفر الشيخ'!$N$3:$N$881,J2,'مدينة كفر الشيخ'!$H$3:$H$881,$B$8)</f>
        <v>0</v>
      </c>
      <c r="K10" s="28">
        <f>COUNTIFS('مدينة كفر الشيخ'!$K$3:$K$881,$C$10,'مدينة كفر الشيخ'!$N$3:$N$881,K2,'مدينة كفر الشيخ'!$H$3:$H$881,$B$8)</f>
        <v>1</v>
      </c>
      <c r="L10" s="28">
        <f>COUNTIFS('مدينة كفر الشيخ'!$K$3:$K$881,$C$10,'مدينة كفر الشيخ'!$N$3:$N$881,L2,'مدينة كفر الشيخ'!$H$3:$H$881,$B$8)</f>
        <v>3</v>
      </c>
      <c r="M10" s="28">
        <f>COUNTIFS('مدينة كفر الشيخ'!$K$3:$K$881,$C$10,'مدينة كفر الشيخ'!$N$3:$N$881,M2,'مدينة كفر الشيخ'!$H$3:$H$881,$B$8)</f>
        <v>0</v>
      </c>
      <c r="N10" s="28">
        <f>COUNTIFS('مدينة كفر الشيخ'!$K$3:$K$881,$C$10,'مدينة كفر الشيخ'!$N$3:$N$881,N2,'مدينة كفر الشيخ'!$H$3:$H$881,$B$8)</f>
        <v>13</v>
      </c>
      <c r="O10" s="28">
        <f>COUNTIFS('مدينة كفر الشيخ'!$K$3:$K$881,$C$10,'مدينة كفر الشيخ'!$N$3:$N$881,O2,'مدينة كفر الشيخ'!$H$3:$H$881,$B$8)</f>
        <v>0</v>
      </c>
      <c r="P10" s="28">
        <f>COUNTIFS('مدينة كفر الشيخ'!$K$3:$K$881,$C$10,'مدينة كفر الشيخ'!$N$3:$N$881,P2,'مدينة كفر الشيخ'!$H$3:$H$881,$B$8)</f>
        <v>29</v>
      </c>
      <c r="Q10" s="28">
        <f>COUNTIFS('مدينة كفر الشيخ'!$K$3:$K$881,$C$10,'مدينة كفر الشيخ'!$N$3:$N$881,Q2,'مدينة كفر الشيخ'!$H$3:$H$881,$B$8)</f>
        <v>4</v>
      </c>
      <c r="R10" s="28">
        <f>COUNTIFS('مدينة كفر الشيخ'!$K$3:$K$881,$C$10,'مدينة كفر الشيخ'!$N$3:$N$881,R2,'مدينة كفر الشيخ'!$H$3:$H$881,$B$8)</f>
        <v>2</v>
      </c>
      <c r="S10" s="28">
        <f>COUNTIFS('مدينة كفر الشيخ'!$K$3:$K$881,$C$10,'مدينة كفر الشيخ'!$N$3:$N$881,S2,'مدينة كفر الشيخ'!$H$3:$H$881,$B$8)</f>
        <v>1</v>
      </c>
      <c r="T10" s="28">
        <f>COUNTIFS('مدينة كفر الشيخ'!$K$3:$K$881,$C$10,'مدينة كفر الشيخ'!$N$3:$N$881,T2,'مدينة كفر الشيخ'!$H$3:$H$881,$B$8)</f>
        <v>24</v>
      </c>
      <c r="U10" s="28">
        <f>COUNTIFS('مدينة كفر الشيخ'!$K$3:$K$881,$C$10,'مدينة كفر الشيخ'!$N$3:$N$881,U2,'مدينة كفر الشيخ'!$H$3:$H$881,$B$8)</f>
        <v>20</v>
      </c>
      <c r="V10" s="28">
        <f>COUNTIFS('مدينة كفر الشيخ'!$K$3:$K$881,$C$10,'مدينة كفر الشيخ'!$N$3:$N$881,V2,'مدينة كفر الشيخ'!$H$3:$H$881,$B$8)</f>
        <v>2</v>
      </c>
      <c r="W10" s="28">
        <f>COUNTIFS('مدينة كفر الشيخ'!$K$3:$K$881,$C$10,'مدينة كفر الشيخ'!$N$3:$N$881,W2,'مدينة كفر الشيخ'!$H$3:$H$881,$B$8)</f>
        <v>3</v>
      </c>
      <c r="X10" s="28">
        <f>COUNTIFS('مدينة كفر الشيخ'!$K$3:$K$881,$C$10,'مدينة كفر الشيخ'!$N$3:$N$881,X2,'مدينة كفر الشيخ'!$H$3:$H$881,$B$8)</f>
        <v>2</v>
      </c>
      <c r="Y10" s="25">
        <f t="shared" si="1"/>
        <v>109</v>
      </c>
      <c r="Z10" s="26">
        <f t="shared" si="0"/>
        <v>79960</v>
      </c>
    </row>
    <row r="11" spans="2:26" ht="21" customHeight="1" x14ac:dyDescent="0.25">
      <c r="B11" s="167"/>
      <c r="C11" s="35" t="s">
        <v>25</v>
      </c>
      <c r="D11" s="28">
        <f>COUNTIFS('مدينة كفر الشيخ'!$K$3:$K$881,$C$11,'مدينة كفر الشيخ'!$N$3:$N$881,D2,'مدينة كفر الشيخ'!$H$3:$H$881,$B$8)</f>
        <v>0</v>
      </c>
      <c r="E11" s="28">
        <f>COUNTIFS('مدينة كفر الشيخ'!$K$3:$K$881,$C$11,'مدينة كفر الشيخ'!$N$3:$N$881,E2,'مدينة كفر الشيخ'!$H$3:$H$881,$B$8)</f>
        <v>0</v>
      </c>
      <c r="F11" s="28">
        <f>COUNTIFS('مدينة كفر الشيخ'!$K$3:$K$881,$C$11,'مدينة كفر الشيخ'!$N$3:$N$881,F2,'مدينة كفر الشيخ'!$H$3:$H$881,$B$8)</f>
        <v>0</v>
      </c>
      <c r="G11" s="28">
        <f>COUNTIFS('مدينة كفر الشيخ'!$K$3:$K$881,$C$11,'مدينة كفر الشيخ'!$N$3:$N$881,G2,'مدينة كفر الشيخ'!$H$3:$H$881,$B$8)</f>
        <v>2</v>
      </c>
      <c r="H11" s="28">
        <f>COUNTIFS('مدينة كفر الشيخ'!$K$3:$K$881,$C$11,'مدينة كفر الشيخ'!$N$3:$N$881,H2,'مدينة كفر الشيخ'!$H$3:$H$881,$B$8)</f>
        <v>0</v>
      </c>
      <c r="I11" s="28">
        <f>COUNTIFS('مدينة كفر الشيخ'!$K$3:$K$881,$C$11,'مدينة كفر الشيخ'!$N$3:$N$881,I2,'مدينة كفر الشيخ'!$H$3:$H$881,$B$8)</f>
        <v>2</v>
      </c>
      <c r="J11" s="28">
        <f>COUNTIFS('مدينة كفر الشيخ'!$K$3:$K$881,$C$11,'مدينة كفر الشيخ'!$N$3:$N$881,J2,'مدينة كفر الشيخ'!$H$3:$H$881,$B$8)</f>
        <v>0</v>
      </c>
      <c r="K11" s="28">
        <f>COUNTIFS('مدينة كفر الشيخ'!$K$3:$K$881,$C$11,'مدينة كفر الشيخ'!$N$3:$N$881,K2,'مدينة كفر الشيخ'!$H$3:$H$881,$B$8)</f>
        <v>0</v>
      </c>
      <c r="L11" s="28">
        <f>COUNTIFS('مدينة كفر الشيخ'!$K$3:$K$881,$C$11,'مدينة كفر الشيخ'!$N$3:$N$881,L2,'مدينة كفر الشيخ'!$H$3:$H$881,$B$8)</f>
        <v>2</v>
      </c>
      <c r="M11" s="28">
        <f>COUNTIFS('مدينة كفر الشيخ'!$K$3:$K$881,$C$11,'مدينة كفر الشيخ'!$N$3:$N$881,M2,'مدينة كفر الشيخ'!$H$3:$H$881,$B$8)</f>
        <v>3</v>
      </c>
      <c r="N11" s="28">
        <f>COUNTIFS('مدينة كفر الشيخ'!$K$3:$K$881,$C$11,'مدينة كفر الشيخ'!$N$3:$N$881,N2,'مدينة كفر الشيخ'!$H$3:$H$881,$B$8)</f>
        <v>19</v>
      </c>
      <c r="O11" s="28">
        <f>COUNTIFS('مدينة كفر الشيخ'!$K$3:$K$881,$C$11,'مدينة كفر الشيخ'!$N$3:$N$881,O2,'مدينة كفر الشيخ'!$H$3:$H$881,$B$8)</f>
        <v>0</v>
      </c>
      <c r="P11" s="28">
        <f>COUNTIFS('مدينة كفر الشيخ'!$K$3:$K$881,$C$11,'مدينة كفر الشيخ'!$N$3:$N$881,P2,'مدينة كفر الشيخ'!$H$3:$H$881,$B$8)</f>
        <v>25</v>
      </c>
      <c r="Q11" s="28">
        <f>COUNTIFS('مدينة كفر الشيخ'!$K$3:$K$881,$C$11,'مدينة كفر الشيخ'!$N$3:$N$881,Q2,'مدينة كفر الشيخ'!$H$3:$H$881,$B$8)</f>
        <v>0</v>
      </c>
      <c r="R11" s="28">
        <f>COUNTIFS('مدينة كفر الشيخ'!$K$3:$K$881,$C$11,'مدينة كفر الشيخ'!$N$3:$N$881,R2,'مدينة كفر الشيخ'!$H$3:$H$881,$B$8)</f>
        <v>0</v>
      </c>
      <c r="S11" s="28">
        <f>COUNTIFS('مدينة كفر الشيخ'!$K$3:$K$881,$C$11,'مدينة كفر الشيخ'!$N$3:$N$881,S2,'مدينة كفر الشيخ'!$H$3:$H$881,$B$8)</f>
        <v>1</v>
      </c>
      <c r="T11" s="28">
        <f>COUNTIFS('مدينة كفر الشيخ'!$K$3:$K$881,$C$11,'مدينة كفر الشيخ'!$N$3:$N$881,T2,'مدينة كفر الشيخ'!$H$3:$H$881,$B$8)</f>
        <v>3</v>
      </c>
      <c r="U11" s="28">
        <f>COUNTIFS('مدينة كفر الشيخ'!$K$3:$K$881,$C$11,'مدينة كفر الشيخ'!$N$3:$N$881,U2,'مدينة كفر الشيخ'!$H$3:$H$881,$B$8)</f>
        <v>2</v>
      </c>
      <c r="V11" s="28">
        <f>COUNTIFS('مدينة كفر الشيخ'!$K$3:$K$881,$C$11,'مدينة كفر الشيخ'!$N$3:$N$881,V2,'مدينة كفر الشيخ'!$H$3:$H$881,$B$8)</f>
        <v>0</v>
      </c>
      <c r="W11" s="28">
        <f>COUNTIFS('مدينة كفر الشيخ'!$K$3:$K$881,$C$11,'مدينة كفر الشيخ'!$N$3:$N$881,W2,'مدينة كفر الشيخ'!$H$3:$H$881,$B$8)</f>
        <v>0</v>
      </c>
      <c r="X11" s="28">
        <f>COUNTIFS('مدينة كفر الشيخ'!$K$3:$K$881,$C$11,'مدينة كفر الشيخ'!$N$3:$N$881,X2,'مدينة كفر الشيخ'!$H$3:$H$881,$B$8)</f>
        <v>0</v>
      </c>
      <c r="Y11" s="25">
        <f t="shared" si="1"/>
        <v>59</v>
      </c>
      <c r="Z11" s="26">
        <f t="shared" si="0"/>
        <v>26476</v>
      </c>
    </row>
    <row r="12" spans="2:26" ht="20.25" customHeight="1" x14ac:dyDescent="0.25">
      <c r="B12" s="168"/>
      <c r="C12" s="36" t="s">
        <v>30</v>
      </c>
      <c r="D12" s="29">
        <f t="shared" ref="D12:X12" si="3">SUM(D8:D11)</f>
        <v>0</v>
      </c>
      <c r="E12" s="29">
        <f t="shared" si="3"/>
        <v>0</v>
      </c>
      <c r="F12" s="29">
        <f t="shared" si="3"/>
        <v>0</v>
      </c>
      <c r="G12" s="29">
        <f t="shared" si="3"/>
        <v>2</v>
      </c>
      <c r="H12" s="29"/>
      <c r="I12" s="29">
        <f t="shared" si="3"/>
        <v>7</v>
      </c>
      <c r="J12" s="29">
        <f t="shared" si="3"/>
        <v>0</v>
      </c>
      <c r="K12" s="29">
        <f t="shared" si="3"/>
        <v>1</v>
      </c>
      <c r="L12" s="29">
        <f t="shared" si="3"/>
        <v>5</v>
      </c>
      <c r="M12" s="29">
        <f t="shared" si="3"/>
        <v>3</v>
      </c>
      <c r="N12" s="29">
        <f t="shared" si="3"/>
        <v>32</v>
      </c>
      <c r="O12" s="29">
        <f>SUM(O8:O11)</f>
        <v>0</v>
      </c>
      <c r="P12" s="29">
        <f t="shared" si="3"/>
        <v>54</v>
      </c>
      <c r="Q12" s="29">
        <f>SUM(Q8:Q11)</f>
        <v>4</v>
      </c>
      <c r="R12" s="29">
        <f t="shared" si="3"/>
        <v>2</v>
      </c>
      <c r="S12" s="29">
        <f t="shared" si="3"/>
        <v>2</v>
      </c>
      <c r="T12" s="29">
        <f t="shared" si="3"/>
        <v>27</v>
      </c>
      <c r="U12" s="29">
        <f t="shared" si="3"/>
        <v>22</v>
      </c>
      <c r="V12" s="29">
        <f t="shared" si="3"/>
        <v>2</v>
      </c>
      <c r="W12" s="29">
        <f t="shared" si="3"/>
        <v>3</v>
      </c>
      <c r="X12" s="29">
        <f t="shared" si="3"/>
        <v>2</v>
      </c>
      <c r="Y12" s="29">
        <f t="shared" si="1"/>
        <v>168</v>
      </c>
      <c r="Z12" s="29">
        <f t="shared" si="0"/>
        <v>106436</v>
      </c>
    </row>
    <row r="13" spans="2:26" ht="21" customHeight="1" x14ac:dyDescent="0.25">
      <c r="B13" s="158" t="s">
        <v>31</v>
      </c>
      <c r="C13" s="37" t="s">
        <v>27</v>
      </c>
      <c r="D13" s="30">
        <f t="shared" ref="D13:X13" si="4">D3+D8</f>
        <v>0</v>
      </c>
      <c r="E13" s="30">
        <f t="shared" si="4"/>
        <v>0</v>
      </c>
      <c r="F13" s="30">
        <f t="shared" si="4"/>
        <v>0</v>
      </c>
      <c r="G13" s="30">
        <f t="shared" si="4"/>
        <v>0</v>
      </c>
      <c r="H13" s="30">
        <f t="shared" si="4"/>
        <v>0</v>
      </c>
      <c r="I13" s="30">
        <f t="shared" si="4"/>
        <v>0</v>
      </c>
      <c r="J13" s="30">
        <f t="shared" si="4"/>
        <v>0</v>
      </c>
      <c r="K13" s="30">
        <f t="shared" si="4"/>
        <v>0</v>
      </c>
      <c r="L13" s="30">
        <f t="shared" si="4"/>
        <v>0</v>
      </c>
      <c r="M13" s="30">
        <f t="shared" si="4"/>
        <v>0</v>
      </c>
      <c r="N13" s="30">
        <f t="shared" si="4"/>
        <v>0</v>
      </c>
      <c r="O13" s="30">
        <f>O3+O8</f>
        <v>0</v>
      </c>
      <c r="P13" s="30">
        <f t="shared" si="4"/>
        <v>0</v>
      </c>
      <c r="Q13" s="30">
        <f>Q3+Q8</f>
        <v>0</v>
      </c>
      <c r="R13" s="30">
        <f t="shared" si="4"/>
        <v>0</v>
      </c>
      <c r="S13" s="30">
        <f t="shared" si="4"/>
        <v>0</v>
      </c>
      <c r="T13" s="30">
        <f t="shared" si="4"/>
        <v>0</v>
      </c>
      <c r="U13" s="30">
        <f t="shared" si="4"/>
        <v>0</v>
      </c>
      <c r="V13" s="30">
        <f t="shared" si="4"/>
        <v>0</v>
      </c>
      <c r="W13" s="30">
        <f t="shared" si="4"/>
        <v>0</v>
      </c>
      <c r="X13" s="30">
        <f t="shared" si="4"/>
        <v>0</v>
      </c>
      <c r="Y13" s="25">
        <f t="shared" si="1"/>
        <v>0</v>
      </c>
      <c r="Z13" s="26">
        <f t="shared" si="0"/>
        <v>0</v>
      </c>
    </row>
    <row r="14" spans="2:26" ht="21" customHeight="1" x14ac:dyDescent="0.25">
      <c r="B14" s="158"/>
      <c r="C14" s="37" t="s">
        <v>24</v>
      </c>
      <c r="D14" s="30">
        <f>D4+D9</f>
        <v>0</v>
      </c>
      <c r="E14" s="30">
        <f t="shared" ref="E14:X14" si="5">E4+E9</f>
        <v>0</v>
      </c>
      <c r="F14" s="30">
        <f t="shared" si="5"/>
        <v>0</v>
      </c>
      <c r="G14" s="30">
        <f t="shared" si="5"/>
        <v>0</v>
      </c>
      <c r="H14" s="30">
        <f t="shared" si="5"/>
        <v>0</v>
      </c>
      <c r="I14" s="30">
        <f t="shared" si="5"/>
        <v>0</v>
      </c>
      <c r="J14" s="30">
        <f t="shared" si="5"/>
        <v>0</v>
      </c>
      <c r="K14" s="30">
        <f t="shared" si="5"/>
        <v>0</v>
      </c>
      <c r="L14" s="30">
        <f t="shared" si="5"/>
        <v>0</v>
      </c>
      <c r="M14" s="30">
        <f t="shared" si="5"/>
        <v>0</v>
      </c>
      <c r="N14" s="30">
        <f t="shared" si="5"/>
        <v>0</v>
      </c>
      <c r="O14" s="30">
        <f>O4+O9</f>
        <v>0</v>
      </c>
      <c r="P14" s="30">
        <f t="shared" si="5"/>
        <v>0</v>
      </c>
      <c r="Q14" s="30">
        <f>Q4+Q9</f>
        <v>0</v>
      </c>
      <c r="R14" s="30">
        <f t="shared" si="5"/>
        <v>0</v>
      </c>
      <c r="S14" s="30">
        <f t="shared" si="5"/>
        <v>0</v>
      </c>
      <c r="T14" s="30">
        <f t="shared" si="5"/>
        <v>0</v>
      </c>
      <c r="U14" s="30">
        <f t="shared" si="5"/>
        <v>0</v>
      </c>
      <c r="V14" s="30">
        <f t="shared" si="5"/>
        <v>0</v>
      </c>
      <c r="W14" s="30">
        <f t="shared" si="5"/>
        <v>0</v>
      </c>
      <c r="X14" s="30">
        <f t="shared" si="5"/>
        <v>0</v>
      </c>
      <c r="Y14" s="25">
        <f t="shared" si="1"/>
        <v>0</v>
      </c>
      <c r="Z14" s="26">
        <f t="shared" si="0"/>
        <v>0</v>
      </c>
    </row>
    <row r="15" spans="2:26" ht="21" customHeight="1" x14ac:dyDescent="0.25">
      <c r="B15" s="158"/>
      <c r="C15" s="37" t="s">
        <v>28</v>
      </c>
      <c r="D15" s="30">
        <f>D5+D10</f>
        <v>0</v>
      </c>
      <c r="E15" s="30">
        <f>E5+E10</f>
        <v>0</v>
      </c>
      <c r="F15" s="30">
        <f t="shared" ref="F15:J16" si="6">F5+F10</f>
        <v>0</v>
      </c>
      <c r="G15" s="30">
        <f t="shared" si="6"/>
        <v>1</v>
      </c>
      <c r="H15" s="30">
        <f t="shared" si="6"/>
        <v>0</v>
      </c>
      <c r="I15" s="30">
        <f t="shared" si="6"/>
        <v>11</v>
      </c>
      <c r="J15" s="30">
        <f t="shared" si="6"/>
        <v>0</v>
      </c>
      <c r="K15" s="30">
        <f>K5+K10</f>
        <v>1</v>
      </c>
      <c r="L15" s="30">
        <f t="shared" ref="L15:N16" si="7">L5+L10</f>
        <v>7</v>
      </c>
      <c r="M15" s="30">
        <f t="shared" si="7"/>
        <v>0</v>
      </c>
      <c r="N15" s="30">
        <f t="shared" si="7"/>
        <v>36</v>
      </c>
      <c r="O15" s="30">
        <f>O5+O10</f>
        <v>0</v>
      </c>
      <c r="P15" s="30">
        <f>P5+P10</f>
        <v>63</v>
      </c>
      <c r="Q15" s="30">
        <f>Q5+Q10</f>
        <v>4</v>
      </c>
      <c r="R15" s="30">
        <f>R5+R10</f>
        <v>2</v>
      </c>
      <c r="S15" s="30">
        <f t="shared" ref="S15:X16" si="8">S5+S10</f>
        <v>21</v>
      </c>
      <c r="T15" s="30">
        <f t="shared" si="8"/>
        <v>83</v>
      </c>
      <c r="U15" s="30">
        <f t="shared" si="8"/>
        <v>33</v>
      </c>
      <c r="V15" s="30">
        <f t="shared" si="8"/>
        <v>2</v>
      </c>
      <c r="W15" s="30">
        <f t="shared" si="8"/>
        <v>3</v>
      </c>
      <c r="X15" s="30">
        <f t="shared" si="8"/>
        <v>2</v>
      </c>
      <c r="Y15" s="25">
        <f t="shared" si="1"/>
        <v>269</v>
      </c>
      <c r="Z15" s="26">
        <f t="shared" si="0"/>
        <v>199823</v>
      </c>
    </row>
    <row r="16" spans="2:26" ht="22.5" customHeight="1" x14ac:dyDescent="0.25">
      <c r="B16" s="158"/>
      <c r="C16" s="37" t="s">
        <v>25</v>
      </c>
      <c r="D16" s="30">
        <f>D6+D11</f>
        <v>0</v>
      </c>
      <c r="E16" s="30">
        <f>E6+E11</f>
        <v>0</v>
      </c>
      <c r="F16" s="30">
        <f t="shared" si="6"/>
        <v>0</v>
      </c>
      <c r="G16" s="30">
        <f t="shared" si="6"/>
        <v>2</v>
      </c>
      <c r="H16" s="30">
        <f t="shared" si="6"/>
        <v>0</v>
      </c>
      <c r="I16" s="30">
        <f t="shared" si="6"/>
        <v>3</v>
      </c>
      <c r="J16" s="30">
        <f t="shared" si="6"/>
        <v>0</v>
      </c>
      <c r="K16" s="30">
        <f>K6+K11</f>
        <v>0</v>
      </c>
      <c r="L16" s="30">
        <f t="shared" si="7"/>
        <v>6</v>
      </c>
      <c r="M16" s="30">
        <f t="shared" si="7"/>
        <v>11</v>
      </c>
      <c r="N16" s="30">
        <f t="shared" si="7"/>
        <v>30</v>
      </c>
      <c r="O16" s="30">
        <f>O6+O11</f>
        <v>0</v>
      </c>
      <c r="P16" s="30">
        <f>P6+P11</f>
        <v>97</v>
      </c>
      <c r="Q16" s="30">
        <f>Q6+Q11</f>
        <v>0</v>
      </c>
      <c r="R16" s="30">
        <f>R6+R11</f>
        <v>0</v>
      </c>
      <c r="S16" s="30">
        <f t="shared" si="8"/>
        <v>26</v>
      </c>
      <c r="T16" s="30">
        <f t="shared" si="8"/>
        <v>62</v>
      </c>
      <c r="U16" s="30">
        <f t="shared" si="8"/>
        <v>2</v>
      </c>
      <c r="V16" s="30">
        <f t="shared" si="8"/>
        <v>0</v>
      </c>
      <c r="W16" s="30">
        <f t="shared" si="8"/>
        <v>0</v>
      </c>
      <c r="X16" s="30">
        <f t="shared" si="8"/>
        <v>0</v>
      </c>
      <c r="Y16" s="25">
        <f t="shared" si="1"/>
        <v>239</v>
      </c>
      <c r="Z16" s="26">
        <f t="shared" si="0"/>
        <v>147676</v>
      </c>
    </row>
    <row r="17" spans="2:26" ht="22.5" customHeight="1" x14ac:dyDescent="0.25">
      <c r="B17" s="158"/>
      <c r="C17" s="38" t="s">
        <v>30</v>
      </c>
      <c r="D17" s="31">
        <f>SUM(D13:D16)</f>
        <v>0</v>
      </c>
      <c r="E17" s="31">
        <f t="shared" ref="E17:X17" si="9">SUM(E13:E16)</f>
        <v>0</v>
      </c>
      <c r="F17" s="31">
        <f t="shared" si="9"/>
        <v>0</v>
      </c>
      <c r="G17" s="31">
        <f t="shared" si="9"/>
        <v>3</v>
      </c>
      <c r="H17" s="31">
        <f t="shared" si="9"/>
        <v>0</v>
      </c>
      <c r="I17" s="31">
        <f t="shared" si="9"/>
        <v>14</v>
      </c>
      <c r="J17" s="31">
        <f t="shared" si="9"/>
        <v>0</v>
      </c>
      <c r="K17" s="31">
        <f t="shared" si="9"/>
        <v>1</v>
      </c>
      <c r="L17" s="31">
        <f t="shared" si="9"/>
        <v>13</v>
      </c>
      <c r="M17" s="31">
        <f t="shared" si="9"/>
        <v>11</v>
      </c>
      <c r="N17" s="31">
        <f t="shared" si="9"/>
        <v>66</v>
      </c>
      <c r="O17" s="31">
        <f>SUM(O13:O16)</f>
        <v>0</v>
      </c>
      <c r="P17" s="31">
        <f t="shared" si="9"/>
        <v>160</v>
      </c>
      <c r="Q17" s="31">
        <f>SUM(Q13:Q16)</f>
        <v>4</v>
      </c>
      <c r="R17" s="31">
        <f t="shared" si="9"/>
        <v>2</v>
      </c>
      <c r="S17" s="31">
        <f t="shared" si="9"/>
        <v>47</v>
      </c>
      <c r="T17" s="31">
        <f t="shared" si="9"/>
        <v>145</v>
      </c>
      <c r="U17" s="31">
        <f t="shared" si="9"/>
        <v>35</v>
      </c>
      <c r="V17" s="31">
        <f t="shared" si="9"/>
        <v>2</v>
      </c>
      <c r="W17" s="31">
        <f t="shared" si="9"/>
        <v>3</v>
      </c>
      <c r="X17" s="31">
        <f t="shared" si="9"/>
        <v>2</v>
      </c>
      <c r="Y17" s="31">
        <f t="shared" si="1"/>
        <v>508</v>
      </c>
      <c r="Z17" s="32">
        <f t="shared" si="0"/>
        <v>347499</v>
      </c>
    </row>
  </sheetData>
  <sheetProtection formatCells="0" formatColumns="0" formatRows="0" insertColumns="0" insertRows="0" autoFilter="0"/>
  <mergeCells count="7">
    <mergeCell ref="B13:B17"/>
    <mergeCell ref="B1:B2"/>
    <mergeCell ref="C1:C2"/>
    <mergeCell ref="Y1:Z1"/>
    <mergeCell ref="B3:B7"/>
    <mergeCell ref="B8:B12"/>
    <mergeCell ref="D1:X1"/>
  </mergeCells>
  <printOptions horizontalCentered="1"/>
  <pageMargins left="0.25" right="0.25" top="0.75" bottom="0.75" header="0.3" footer="0.3"/>
  <pageSetup paperSize="9" scale="59" fitToHeight="0" orientation="landscape" r:id="rId1"/>
  <colBreaks count="1" manualBreakCount="1">
    <brk id="26" max="1048575" man="1"/>
  </colBreak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T61"/>
  <sheetViews>
    <sheetView workbookViewId="0">
      <selection activeCell="R6" sqref="R6"/>
    </sheetView>
  </sheetViews>
  <sheetFormatPr defaultRowHeight="15" x14ac:dyDescent="0.25"/>
  <sheetData>
    <row r="1" spans="1:20" ht="15.75" thickBot="1" x14ac:dyDescent="0.3"/>
    <row r="2" spans="1:20" ht="29.25" thickBot="1" x14ac:dyDescent="0.3">
      <c r="A2" s="52" t="s">
        <v>35</v>
      </c>
      <c r="B2" s="41" t="s">
        <v>36</v>
      </c>
      <c r="C2" s="41" t="s">
        <v>69</v>
      </c>
      <c r="D2" s="41" t="s">
        <v>116</v>
      </c>
      <c r="E2" s="41" t="s">
        <v>145</v>
      </c>
      <c r="F2" s="42" t="s">
        <v>146</v>
      </c>
      <c r="G2" s="46" t="s">
        <v>23</v>
      </c>
      <c r="H2" s="62"/>
      <c r="I2" s="70"/>
      <c r="J2" s="66" t="s">
        <v>28</v>
      </c>
      <c r="K2" s="41">
        <v>3</v>
      </c>
      <c r="L2" s="41">
        <v>5</v>
      </c>
      <c r="M2" s="47">
        <v>1000</v>
      </c>
      <c r="N2" s="43">
        <v>8</v>
      </c>
      <c r="O2" s="47">
        <v>634</v>
      </c>
      <c r="P2" s="47">
        <v>648</v>
      </c>
      <c r="Q2" s="47">
        <v>638</v>
      </c>
      <c r="R2" s="48">
        <v>1440</v>
      </c>
      <c r="S2" s="43">
        <v>640</v>
      </c>
      <c r="T2" s="44">
        <v>44</v>
      </c>
    </row>
    <row r="3" spans="1:20" ht="29.25" thickBot="1" x14ac:dyDescent="0.3">
      <c r="A3" s="52" t="s">
        <v>35</v>
      </c>
      <c r="B3" s="41" t="s">
        <v>36</v>
      </c>
      <c r="C3" s="41" t="s">
        <v>69</v>
      </c>
      <c r="D3" s="41" t="s">
        <v>116</v>
      </c>
      <c r="E3" s="41" t="s">
        <v>145</v>
      </c>
      <c r="F3" s="42" t="s">
        <v>147</v>
      </c>
      <c r="G3" s="46" t="s">
        <v>23</v>
      </c>
      <c r="H3" s="62"/>
      <c r="I3" s="70"/>
      <c r="J3" s="66" t="s">
        <v>28</v>
      </c>
      <c r="K3" s="41">
        <v>3</v>
      </c>
      <c r="L3" s="41">
        <v>4</v>
      </c>
      <c r="M3" s="47">
        <v>1000</v>
      </c>
      <c r="N3" s="43">
        <v>8.3333333333333712</v>
      </c>
      <c r="O3" s="47">
        <v>555</v>
      </c>
      <c r="P3" s="47">
        <v>571</v>
      </c>
      <c r="Q3" s="47">
        <v>562</v>
      </c>
      <c r="R3" s="48">
        <v>1440</v>
      </c>
      <c r="S3" s="43">
        <v>562.66666666666663</v>
      </c>
      <c r="T3" s="44">
        <v>39</v>
      </c>
    </row>
    <row r="4" spans="1:20" ht="30.75" thickBot="1" x14ac:dyDescent="0.3">
      <c r="A4" s="52" t="s">
        <v>35</v>
      </c>
      <c r="B4" s="41" t="s">
        <v>36</v>
      </c>
      <c r="C4" s="41" t="s">
        <v>69</v>
      </c>
      <c r="D4" s="41" t="s">
        <v>116</v>
      </c>
      <c r="E4" s="41" t="s">
        <v>145</v>
      </c>
      <c r="F4" s="42" t="s">
        <v>603</v>
      </c>
      <c r="G4" s="46" t="s">
        <v>23</v>
      </c>
      <c r="H4" s="62"/>
      <c r="I4" s="70"/>
      <c r="J4" s="66" t="s">
        <v>25</v>
      </c>
      <c r="K4" s="41">
        <v>3</v>
      </c>
      <c r="L4" s="41">
        <v>3</v>
      </c>
      <c r="M4" s="47">
        <v>800</v>
      </c>
      <c r="N4" s="43">
        <v>6.3333333333333144</v>
      </c>
      <c r="O4" s="47">
        <v>369</v>
      </c>
      <c r="P4" s="47">
        <v>355</v>
      </c>
      <c r="Q4" s="47">
        <v>364</v>
      </c>
      <c r="R4" s="48">
        <v>1152</v>
      </c>
      <c r="S4" s="43">
        <v>362.66666666666669</v>
      </c>
      <c r="T4" s="44">
        <v>31</v>
      </c>
    </row>
    <row r="5" spans="1:20" ht="29.25" thickBot="1" x14ac:dyDescent="0.3">
      <c r="A5" s="52" t="s">
        <v>35</v>
      </c>
      <c r="B5" s="41" t="s">
        <v>36</v>
      </c>
      <c r="C5" s="41" t="s">
        <v>69</v>
      </c>
      <c r="D5" s="41" t="s">
        <v>116</v>
      </c>
      <c r="E5" s="41" t="s">
        <v>153</v>
      </c>
      <c r="F5" s="42" t="s">
        <v>545</v>
      </c>
      <c r="G5" s="46" t="s">
        <v>23</v>
      </c>
      <c r="H5" s="82" t="s">
        <v>596</v>
      </c>
      <c r="I5" s="70">
        <v>2020</v>
      </c>
      <c r="J5" s="66" t="s">
        <v>28</v>
      </c>
      <c r="K5" s="41">
        <v>3</v>
      </c>
      <c r="L5" s="41">
        <v>1</v>
      </c>
      <c r="M5" s="47">
        <v>800</v>
      </c>
      <c r="N5" s="43">
        <v>6.3333333333333144</v>
      </c>
      <c r="O5" s="47">
        <v>370</v>
      </c>
      <c r="P5" s="47">
        <v>382</v>
      </c>
      <c r="Q5" s="47">
        <v>375</v>
      </c>
      <c r="R5" s="48">
        <v>1152</v>
      </c>
      <c r="S5" s="43">
        <v>375.66666666666669</v>
      </c>
      <c r="T5" s="44">
        <v>33</v>
      </c>
    </row>
    <row r="6" spans="1:20" ht="29.25" thickBot="1" x14ac:dyDescent="0.3">
      <c r="A6" s="52" t="s">
        <v>35</v>
      </c>
      <c r="B6" s="41" t="s">
        <v>36</v>
      </c>
      <c r="C6" s="41" t="s">
        <v>69</v>
      </c>
      <c r="D6" s="41" t="s">
        <v>116</v>
      </c>
      <c r="E6" s="41" t="s">
        <v>153</v>
      </c>
      <c r="F6" s="42" t="s">
        <v>154</v>
      </c>
      <c r="G6" s="46" t="s">
        <v>23</v>
      </c>
      <c r="H6" s="62" t="s">
        <v>573</v>
      </c>
      <c r="I6" s="70">
        <v>2015</v>
      </c>
      <c r="J6" s="66" t="s">
        <v>28</v>
      </c>
      <c r="K6" s="41">
        <v>3</v>
      </c>
      <c r="L6" s="41">
        <v>2</v>
      </c>
      <c r="M6" s="47">
        <v>500</v>
      </c>
      <c r="N6" s="43">
        <v>6</v>
      </c>
      <c r="O6" s="57">
        <v>218</v>
      </c>
      <c r="P6" s="57">
        <v>230</v>
      </c>
      <c r="Q6" s="57">
        <v>224</v>
      </c>
      <c r="R6" s="48">
        <v>720</v>
      </c>
      <c r="S6" s="43">
        <v>224</v>
      </c>
      <c r="T6" s="44">
        <v>31</v>
      </c>
    </row>
    <row r="7" spans="1:20" ht="30.75" thickBot="1" x14ac:dyDescent="0.3">
      <c r="A7" s="52" t="s">
        <v>35</v>
      </c>
      <c r="B7" s="41" t="s">
        <v>36</v>
      </c>
      <c r="C7" s="41" t="s">
        <v>69</v>
      </c>
      <c r="D7" s="41" t="s">
        <v>116</v>
      </c>
      <c r="E7" s="41" t="s">
        <v>153</v>
      </c>
      <c r="F7" s="42" t="s">
        <v>155</v>
      </c>
      <c r="G7" s="46" t="s">
        <v>23</v>
      </c>
      <c r="H7" s="62"/>
      <c r="I7" s="70"/>
      <c r="J7" s="66" t="s">
        <v>28</v>
      </c>
      <c r="K7" s="41">
        <v>3</v>
      </c>
      <c r="L7" s="41"/>
      <c r="M7" s="47">
        <v>500</v>
      </c>
      <c r="N7" s="43">
        <f t="shared" ref="N7:N22" si="0">MAX(O7:Q7)-AVERAGE(O7:Q7)</f>
        <v>6.6666666666666572</v>
      </c>
      <c r="O7" s="57">
        <v>232</v>
      </c>
      <c r="P7" s="57">
        <v>239</v>
      </c>
      <c r="Q7" s="57">
        <v>226</v>
      </c>
      <c r="R7" s="48">
        <f t="shared" ref="R7:R12" si="1">1.44*M7</f>
        <v>720</v>
      </c>
      <c r="S7" s="43">
        <f t="shared" ref="S7:S12" si="2">(Q7+P7+O7)/3</f>
        <v>232.33333333333334</v>
      </c>
      <c r="T7" s="44">
        <f t="shared" ref="T7:T22" si="3">ROUND(((AVERAGE(O7,Q7,P7))/(M7*1.44))*100,0)</f>
        <v>32</v>
      </c>
    </row>
    <row r="8" spans="1:20" ht="30.75" thickBot="1" x14ac:dyDescent="0.3">
      <c r="A8" s="52" t="s">
        <v>35</v>
      </c>
      <c r="B8" s="41" t="s">
        <v>36</v>
      </c>
      <c r="C8" s="41" t="s">
        <v>69</v>
      </c>
      <c r="D8" s="41" t="s">
        <v>116</v>
      </c>
      <c r="E8" s="41" t="s">
        <v>153</v>
      </c>
      <c r="F8" s="42" t="s">
        <v>159</v>
      </c>
      <c r="G8" s="46" t="s">
        <v>23</v>
      </c>
      <c r="H8" s="62"/>
      <c r="I8" s="70"/>
      <c r="J8" s="66" t="s">
        <v>28</v>
      </c>
      <c r="K8" s="41">
        <v>3</v>
      </c>
      <c r="L8" s="41">
        <v>1</v>
      </c>
      <c r="M8" s="47">
        <v>300</v>
      </c>
      <c r="N8" s="43">
        <f t="shared" si="0"/>
        <v>7</v>
      </c>
      <c r="O8" s="57">
        <v>137</v>
      </c>
      <c r="P8" s="57">
        <v>138</v>
      </c>
      <c r="Q8" s="57">
        <v>148</v>
      </c>
      <c r="R8" s="48">
        <f t="shared" si="1"/>
        <v>432</v>
      </c>
      <c r="S8" s="43">
        <f t="shared" si="2"/>
        <v>141</v>
      </c>
      <c r="T8" s="44">
        <f t="shared" si="3"/>
        <v>33</v>
      </c>
    </row>
    <row r="9" spans="1:20" ht="29.25" thickBot="1" x14ac:dyDescent="0.3">
      <c r="A9" s="52" t="s">
        <v>35</v>
      </c>
      <c r="B9" s="41" t="s">
        <v>36</v>
      </c>
      <c r="C9" s="41" t="s">
        <v>69</v>
      </c>
      <c r="D9" s="41" t="s">
        <v>116</v>
      </c>
      <c r="E9" s="41" t="s">
        <v>153</v>
      </c>
      <c r="F9" s="42" t="s">
        <v>202</v>
      </c>
      <c r="G9" s="46" t="s">
        <v>23</v>
      </c>
      <c r="H9" s="62"/>
      <c r="I9" s="70"/>
      <c r="J9" s="66" t="s">
        <v>28</v>
      </c>
      <c r="K9" s="41">
        <v>3</v>
      </c>
      <c r="L9" s="41">
        <v>1</v>
      </c>
      <c r="M9" s="47">
        <v>300</v>
      </c>
      <c r="N9" s="43">
        <f t="shared" si="0"/>
        <v>6</v>
      </c>
      <c r="O9" s="57">
        <v>138</v>
      </c>
      <c r="P9" s="57">
        <v>142</v>
      </c>
      <c r="Q9" s="57">
        <v>149</v>
      </c>
      <c r="R9" s="48">
        <f t="shared" si="1"/>
        <v>432</v>
      </c>
      <c r="S9" s="43">
        <f t="shared" si="2"/>
        <v>143</v>
      </c>
      <c r="T9" s="44">
        <f t="shared" si="3"/>
        <v>33</v>
      </c>
    </row>
    <row r="10" spans="1:20" ht="29.25" thickBot="1" x14ac:dyDescent="0.3">
      <c r="A10" s="52" t="s">
        <v>35</v>
      </c>
      <c r="B10" s="41" t="s">
        <v>36</v>
      </c>
      <c r="C10" s="41" t="s">
        <v>69</v>
      </c>
      <c r="D10" s="41" t="s">
        <v>116</v>
      </c>
      <c r="E10" s="41" t="s">
        <v>153</v>
      </c>
      <c r="F10" s="42" t="s">
        <v>203</v>
      </c>
      <c r="G10" s="46" t="s">
        <v>23</v>
      </c>
      <c r="H10" s="62"/>
      <c r="I10" s="70"/>
      <c r="J10" s="66" t="s">
        <v>28</v>
      </c>
      <c r="K10" s="41">
        <v>3</v>
      </c>
      <c r="L10" s="41">
        <v>1</v>
      </c>
      <c r="M10" s="47">
        <v>300</v>
      </c>
      <c r="N10" s="43">
        <f t="shared" si="0"/>
        <v>6.6666666666666572</v>
      </c>
      <c r="O10" s="57">
        <v>130</v>
      </c>
      <c r="P10" s="57">
        <v>141</v>
      </c>
      <c r="Q10" s="57">
        <v>132</v>
      </c>
      <c r="R10" s="48">
        <f t="shared" si="1"/>
        <v>432</v>
      </c>
      <c r="S10" s="43">
        <f t="shared" si="2"/>
        <v>134.33333333333334</v>
      </c>
      <c r="T10" s="44">
        <f t="shared" si="3"/>
        <v>31</v>
      </c>
    </row>
    <row r="11" spans="1:20" ht="30.75" thickBot="1" x14ac:dyDescent="0.3">
      <c r="A11" s="52" t="s">
        <v>35</v>
      </c>
      <c r="B11" s="41" t="s">
        <v>36</v>
      </c>
      <c r="C11" s="41" t="s">
        <v>69</v>
      </c>
      <c r="D11" s="41" t="s">
        <v>116</v>
      </c>
      <c r="E11" s="41" t="s">
        <v>153</v>
      </c>
      <c r="F11" s="42" t="s">
        <v>160</v>
      </c>
      <c r="G11" s="46" t="s">
        <v>23</v>
      </c>
      <c r="H11" s="62"/>
      <c r="I11" s="70"/>
      <c r="J11" s="66" t="s">
        <v>28</v>
      </c>
      <c r="K11" s="41">
        <v>3</v>
      </c>
      <c r="L11" s="41"/>
      <c r="M11" s="47">
        <v>500</v>
      </c>
      <c r="N11" s="43">
        <f t="shared" si="0"/>
        <v>8.3333333333333428</v>
      </c>
      <c r="O11" s="57">
        <v>236</v>
      </c>
      <c r="P11" s="57">
        <v>218</v>
      </c>
      <c r="Q11" s="57">
        <v>229</v>
      </c>
      <c r="R11" s="86">
        <f t="shared" si="1"/>
        <v>720</v>
      </c>
      <c r="S11" s="87">
        <f t="shared" si="2"/>
        <v>227.66666666666666</v>
      </c>
      <c r="T11" s="44">
        <f t="shared" si="3"/>
        <v>32</v>
      </c>
    </row>
    <row r="12" spans="1:20" ht="30.75" thickBot="1" x14ac:dyDescent="0.3">
      <c r="A12" s="52" t="s">
        <v>35</v>
      </c>
      <c r="B12" s="41" t="s">
        <v>36</v>
      </c>
      <c r="C12" s="41" t="s">
        <v>69</v>
      </c>
      <c r="D12" s="41" t="s">
        <v>116</v>
      </c>
      <c r="E12" s="41" t="s">
        <v>161</v>
      </c>
      <c r="F12" s="42" t="s">
        <v>162</v>
      </c>
      <c r="G12" s="46" t="s">
        <v>23</v>
      </c>
      <c r="H12" s="62" t="s">
        <v>573</v>
      </c>
      <c r="I12" s="70">
        <v>2015</v>
      </c>
      <c r="J12" s="66" t="s">
        <v>28</v>
      </c>
      <c r="K12" s="41">
        <v>3</v>
      </c>
      <c r="L12" s="41">
        <v>2</v>
      </c>
      <c r="M12" s="47">
        <v>1000</v>
      </c>
      <c r="N12" s="43">
        <f t="shared" si="0"/>
        <v>7.6666666666666856</v>
      </c>
      <c r="O12" s="92">
        <v>458</v>
      </c>
      <c r="P12" s="92">
        <v>442</v>
      </c>
      <c r="Q12" s="92">
        <v>451</v>
      </c>
      <c r="R12" s="86">
        <f t="shared" si="1"/>
        <v>1440</v>
      </c>
      <c r="S12" s="87">
        <f t="shared" si="2"/>
        <v>450.33333333333331</v>
      </c>
      <c r="T12" s="88">
        <f t="shared" si="3"/>
        <v>31</v>
      </c>
    </row>
    <row r="13" spans="1:20" ht="30.75" thickBot="1" x14ac:dyDescent="0.3">
      <c r="A13" s="52" t="s">
        <v>35</v>
      </c>
      <c r="B13" s="41" t="s">
        <v>36</v>
      </c>
      <c r="C13" s="41" t="s">
        <v>69</v>
      </c>
      <c r="D13" s="41" t="s">
        <v>116</v>
      </c>
      <c r="E13" s="41" t="s">
        <v>161</v>
      </c>
      <c r="F13" s="42" t="s">
        <v>163</v>
      </c>
      <c r="G13" s="46" t="s">
        <v>23</v>
      </c>
      <c r="H13" s="62" t="s">
        <v>573</v>
      </c>
      <c r="I13" s="70">
        <v>2016</v>
      </c>
      <c r="J13" s="66" t="s">
        <v>28</v>
      </c>
      <c r="K13" s="41">
        <v>3</v>
      </c>
      <c r="L13" s="41">
        <v>3</v>
      </c>
      <c r="M13" s="47">
        <v>1500</v>
      </c>
      <c r="N13" s="43">
        <f t="shared" si="0"/>
        <v>6.3333333333333712</v>
      </c>
      <c r="O13" s="92">
        <v>668</v>
      </c>
      <c r="P13" s="92">
        <v>652</v>
      </c>
      <c r="Q13" s="92">
        <v>665</v>
      </c>
      <c r="R13" s="91">
        <f>1.44*M13</f>
        <v>2160</v>
      </c>
      <c r="S13" s="90">
        <f>(Q13+P13+O13)/3</f>
        <v>661.66666666666663</v>
      </c>
      <c r="T13" s="44">
        <f t="shared" si="3"/>
        <v>31</v>
      </c>
    </row>
    <row r="14" spans="1:20" ht="29.25" thickBot="1" x14ac:dyDescent="0.3">
      <c r="A14" s="52" t="s">
        <v>35</v>
      </c>
      <c r="B14" s="41" t="s">
        <v>36</v>
      </c>
      <c r="C14" s="41" t="s">
        <v>37</v>
      </c>
      <c r="D14" s="41" t="s">
        <v>116</v>
      </c>
      <c r="E14" s="41" t="s">
        <v>164</v>
      </c>
      <c r="F14" s="42" t="s">
        <v>165</v>
      </c>
      <c r="G14" s="46" t="s">
        <v>23</v>
      </c>
      <c r="H14" s="63" t="s">
        <v>573</v>
      </c>
      <c r="I14" s="71">
        <v>2002</v>
      </c>
      <c r="J14" s="66" t="s">
        <v>25</v>
      </c>
      <c r="K14" s="41">
        <v>3</v>
      </c>
      <c r="L14" s="41">
        <v>4</v>
      </c>
      <c r="M14" s="47">
        <v>1000</v>
      </c>
      <c r="N14" s="43">
        <f t="shared" si="0"/>
        <v>7</v>
      </c>
      <c r="O14" s="47">
        <v>579</v>
      </c>
      <c r="P14" s="47">
        <v>572</v>
      </c>
      <c r="Q14" s="47">
        <v>586</v>
      </c>
      <c r="R14" s="48">
        <f t="shared" ref="R14:R22" si="4">1.44*M14</f>
        <v>1440</v>
      </c>
      <c r="S14" s="43">
        <f t="shared" ref="S14:S22" si="5">(Q14+P14+O14)/3</f>
        <v>579</v>
      </c>
      <c r="T14" s="44">
        <f t="shared" si="3"/>
        <v>40</v>
      </c>
    </row>
    <row r="15" spans="1:20" ht="29.25" thickBot="1" x14ac:dyDescent="0.3">
      <c r="A15" s="52" t="s">
        <v>35</v>
      </c>
      <c r="B15" s="41" t="s">
        <v>36</v>
      </c>
      <c r="C15" s="41" t="s">
        <v>37</v>
      </c>
      <c r="D15" s="41" t="s">
        <v>116</v>
      </c>
      <c r="E15" s="41" t="s">
        <v>164</v>
      </c>
      <c r="F15" s="42" t="s">
        <v>169</v>
      </c>
      <c r="G15" s="46" t="s">
        <v>23</v>
      </c>
      <c r="H15" s="63" t="s">
        <v>573</v>
      </c>
      <c r="I15" s="71">
        <v>2000</v>
      </c>
      <c r="J15" s="66" t="s">
        <v>25</v>
      </c>
      <c r="K15" s="41">
        <v>3</v>
      </c>
      <c r="L15" s="41">
        <v>5</v>
      </c>
      <c r="M15" s="47">
        <v>800</v>
      </c>
      <c r="N15" s="43">
        <f t="shared" si="0"/>
        <v>6.3333333333333712</v>
      </c>
      <c r="O15" s="47">
        <v>531</v>
      </c>
      <c r="P15" s="47">
        <v>519</v>
      </c>
      <c r="Q15" s="47">
        <v>524</v>
      </c>
      <c r="R15" s="48">
        <f t="shared" si="4"/>
        <v>1152</v>
      </c>
      <c r="S15" s="43">
        <f t="shared" si="5"/>
        <v>524.66666666666663</v>
      </c>
      <c r="T15" s="44">
        <f t="shared" si="3"/>
        <v>46</v>
      </c>
    </row>
    <row r="16" spans="1:20" ht="30.75" thickBot="1" x14ac:dyDescent="0.3">
      <c r="A16" s="52" t="s">
        <v>35</v>
      </c>
      <c r="B16" s="41" t="s">
        <v>36</v>
      </c>
      <c r="C16" s="41" t="s">
        <v>37</v>
      </c>
      <c r="D16" s="41" t="s">
        <v>116</v>
      </c>
      <c r="E16" s="41" t="s">
        <v>171</v>
      </c>
      <c r="F16" s="42" t="s">
        <v>172</v>
      </c>
      <c r="G16" s="46" t="s">
        <v>23</v>
      </c>
      <c r="H16" s="63"/>
      <c r="I16" s="71"/>
      <c r="J16" s="66" t="s">
        <v>25</v>
      </c>
      <c r="K16" s="41">
        <v>3</v>
      </c>
      <c r="L16" s="41">
        <v>4</v>
      </c>
      <c r="M16" s="47">
        <v>1000</v>
      </c>
      <c r="N16" s="43">
        <f t="shared" si="0"/>
        <v>6</v>
      </c>
      <c r="O16" s="47">
        <v>811</v>
      </c>
      <c r="P16" s="47">
        <v>795</v>
      </c>
      <c r="Q16" s="47">
        <v>809</v>
      </c>
      <c r="R16" s="48">
        <f t="shared" si="4"/>
        <v>1440</v>
      </c>
      <c r="S16" s="43">
        <f t="shared" si="5"/>
        <v>805</v>
      </c>
      <c r="T16" s="44">
        <f t="shared" si="3"/>
        <v>56</v>
      </c>
    </row>
    <row r="17" spans="1:20" ht="29.25" thickBot="1" x14ac:dyDescent="0.3">
      <c r="A17" s="52" t="s">
        <v>35</v>
      </c>
      <c r="B17" s="41" t="s">
        <v>36</v>
      </c>
      <c r="C17" s="41" t="s">
        <v>37</v>
      </c>
      <c r="D17" s="41" t="s">
        <v>116</v>
      </c>
      <c r="E17" s="45" t="s">
        <v>178</v>
      </c>
      <c r="F17" s="42" t="s">
        <v>179</v>
      </c>
      <c r="G17" s="46" t="s">
        <v>23</v>
      </c>
      <c r="H17" s="62" t="s">
        <v>573</v>
      </c>
      <c r="I17" s="70">
        <v>2018</v>
      </c>
      <c r="J17" s="66" t="s">
        <v>28</v>
      </c>
      <c r="K17" s="41">
        <v>3</v>
      </c>
      <c r="L17" s="41">
        <v>3</v>
      </c>
      <c r="M17" s="47">
        <v>800</v>
      </c>
      <c r="N17" s="43">
        <f t="shared" si="0"/>
        <v>6.3333333333333144</v>
      </c>
      <c r="O17" s="57">
        <v>368</v>
      </c>
      <c r="P17" s="57">
        <v>373</v>
      </c>
      <c r="Q17" s="57">
        <v>380</v>
      </c>
      <c r="R17" s="48">
        <f t="shared" si="4"/>
        <v>1152</v>
      </c>
      <c r="S17" s="43">
        <f t="shared" si="5"/>
        <v>373.66666666666669</v>
      </c>
      <c r="T17" s="44">
        <f t="shared" si="3"/>
        <v>32</v>
      </c>
    </row>
    <row r="18" spans="1:20" ht="30.75" thickBot="1" x14ac:dyDescent="0.3">
      <c r="A18" s="52" t="s">
        <v>35</v>
      </c>
      <c r="B18" s="41" t="s">
        <v>36</v>
      </c>
      <c r="C18" s="41" t="s">
        <v>37</v>
      </c>
      <c r="D18" s="41" t="s">
        <v>116</v>
      </c>
      <c r="E18" s="45" t="s">
        <v>183</v>
      </c>
      <c r="F18" s="42" t="s">
        <v>185</v>
      </c>
      <c r="G18" s="46" t="s">
        <v>23</v>
      </c>
      <c r="H18" s="63" t="s">
        <v>573</v>
      </c>
      <c r="I18" s="71">
        <v>2012</v>
      </c>
      <c r="J18" s="66" t="s">
        <v>25</v>
      </c>
      <c r="K18" s="41">
        <v>3</v>
      </c>
      <c r="L18" s="41">
        <v>4</v>
      </c>
      <c r="M18" s="47">
        <v>800</v>
      </c>
      <c r="N18" s="43">
        <f t="shared" si="0"/>
        <v>6.6666666666666856</v>
      </c>
      <c r="O18" s="47">
        <v>451</v>
      </c>
      <c r="P18" s="47">
        <v>445</v>
      </c>
      <c r="Q18" s="47">
        <v>437</v>
      </c>
      <c r="R18" s="48">
        <f t="shared" si="4"/>
        <v>1152</v>
      </c>
      <c r="S18" s="43">
        <f t="shared" si="5"/>
        <v>444.33333333333331</v>
      </c>
      <c r="T18" s="44">
        <f t="shared" si="3"/>
        <v>39</v>
      </c>
    </row>
    <row r="19" spans="1:20" ht="30.75" thickBot="1" x14ac:dyDescent="0.3">
      <c r="A19" s="52" t="s">
        <v>35</v>
      </c>
      <c r="B19" s="41" t="s">
        <v>36</v>
      </c>
      <c r="C19" s="41" t="s">
        <v>37</v>
      </c>
      <c r="D19" s="41" t="s">
        <v>116</v>
      </c>
      <c r="E19" s="45" t="s">
        <v>186</v>
      </c>
      <c r="F19" s="42" t="s">
        <v>190</v>
      </c>
      <c r="G19" s="46" t="s">
        <v>23</v>
      </c>
      <c r="H19" s="62"/>
      <c r="I19" s="70"/>
      <c r="J19" s="66" t="s">
        <v>28</v>
      </c>
      <c r="K19" s="41">
        <v>3</v>
      </c>
      <c r="L19" s="41"/>
      <c r="M19" s="47">
        <v>100</v>
      </c>
      <c r="N19" s="43">
        <f t="shared" si="0"/>
        <v>8</v>
      </c>
      <c r="O19" s="47">
        <v>56</v>
      </c>
      <c r="P19" s="47">
        <v>69</v>
      </c>
      <c r="Q19" s="47">
        <v>58</v>
      </c>
      <c r="R19" s="48">
        <f t="shared" si="4"/>
        <v>144</v>
      </c>
      <c r="S19" s="43">
        <f t="shared" si="5"/>
        <v>61</v>
      </c>
      <c r="T19" s="44">
        <f t="shared" si="3"/>
        <v>42</v>
      </c>
    </row>
    <row r="20" spans="1:20" ht="29.25" thickBot="1" x14ac:dyDescent="0.3">
      <c r="A20" s="52" t="s">
        <v>35</v>
      </c>
      <c r="B20" s="41" t="s">
        <v>36</v>
      </c>
      <c r="C20" s="41" t="s">
        <v>37</v>
      </c>
      <c r="D20" s="41" t="s">
        <v>116</v>
      </c>
      <c r="E20" s="45" t="s">
        <v>191</v>
      </c>
      <c r="F20" s="42" t="s">
        <v>192</v>
      </c>
      <c r="G20" s="46" t="s">
        <v>23</v>
      </c>
      <c r="H20" s="63" t="s">
        <v>573</v>
      </c>
      <c r="I20" s="71">
        <v>1985</v>
      </c>
      <c r="J20" s="66" t="s">
        <v>25</v>
      </c>
      <c r="K20" s="41">
        <v>3</v>
      </c>
      <c r="L20" s="41">
        <v>4</v>
      </c>
      <c r="M20" s="47">
        <v>500</v>
      </c>
      <c r="N20" s="43">
        <f t="shared" si="0"/>
        <v>7</v>
      </c>
      <c r="O20" s="47">
        <v>256</v>
      </c>
      <c r="P20" s="47">
        <v>241</v>
      </c>
      <c r="Q20" s="47">
        <v>250</v>
      </c>
      <c r="R20" s="48">
        <f t="shared" si="4"/>
        <v>720</v>
      </c>
      <c r="S20" s="43">
        <f t="shared" si="5"/>
        <v>249</v>
      </c>
      <c r="T20" s="44">
        <f t="shared" si="3"/>
        <v>35</v>
      </c>
    </row>
    <row r="21" spans="1:20" ht="29.25" thickBot="1" x14ac:dyDescent="0.3">
      <c r="A21" s="52" t="s">
        <v>35</v>
      </c>
      <c r="B21" s="41" t="s">
        <v>36</v>
      </c>
      <c r="C21" s="41" t="s">
        <v>37</v>
      </c>
      <c r="D21" s="41" t="s">
        <v>116</v>
      </c>
      <c r="E21" s="45" t="s">
        <v>103</v>
      </c>
      <c r="F21" s="42" t="s">
        <v>197</v>
      </c>
      <c r="G21" s="46" t="s">
        <v>23</v>
      </c>
      <c r="H21" s="62"/>
      <c r="I21" s="70"/>
      <c r="J21" s="66" t="s">
        <v>28</v>
      </c>
      <c r="K21" s="41">
        <v>3</v>
      </c>
      <c r="L21" s="41">
        <v>1</v>
      </c>
      <c r="M21" s="47">
        <v>300</v>
      </c>
      <c r="N21" s="43">
        <f t="shared" si="0"/>
        <v>5.3333333333333428</v>
      </c>
      <c r="O21" s="47">
        <v>133</v>
      </c>
      <c r="P21" s="47">
        <v>146</v>
      </c>
      <c r="Q21" s="47">
        <v>143</v>
      </c>
      <c r="R21" s="48">
        <f t="shared" si="4"/>
        <v>432</v>
      </c>
      <c r="S21" s="43">
        <f t="shared" si="5"/>
        <v>140.66666666666666</v>
      </c>
      <c r="T21" s="44">
        <f t="shared" si="3"/>
        <v>33</v>
      </c>
    </row>
    <row r="22" spans="1:20" ht="29.25" thickBot="1" x14ac:dyDescent="0.3">
      <c r="A22" s="52" t="s">
        <v>35</v>
      </c>
      <c r="B22" s="41" t="s">
        <v>36</v>
      </c>
      <c r="C22" s="41" t="s">
        <v>37</v>
      </c>
      <c r="D22" s="41" t="s">
        <v>116</v>
      </c>
      <c r="E22" s="45" t="s">
        <v>103</v>
      </c>
      <c r="F22" s="42" t="s">
        <v>210</v>
      </c>
      <c r="G22" s="46" t="s">
        <v>23</v>
      </c>
      <c r="H22" s="62"/>
      <c r="I22" s="70"/>
      <c r="J22" s="66" t="s">
        <v>28</v>
      </c>
      <c r="K22" s="41">
        <v>3</v>
      </c>
      <c r="L22" s="41">
        <v>1</v>
      </c>
      <c r="M22" s="47">
        <v>300</v>
      </c>
      <c r="N22" s="43">
        <f t="shared" si="0"/>
        <v>5.6666666666666572</v>
      </c>
      <c r="O22" s="57">
        <v>129</v>
      </c>
      <c r="P22" s="57">
        <v>138</v>
      </c>
      <c r="Q22" s="57">
        <v>130</v>
      </c>
      <c r="R22" s="48">
        <f t="shared" si="4"/>
        <v>432</v>
      </c>
      <c r="S22" s="43">
        <f t="shared" si="5"/>
        <v>132.33333333333334</v>
      </c>
      <c r="T22" s="44">
        <f t="shared" si="3"/>
        <v>31</v>
      </c>
    </row>
    <row r="23" spans="1:20" ht="29.25" thickBot="1" x14ac:dyDescent="0.3">
      <c r="A23" s="52" t="s">
        <v>35</v>
      </c>
      <c r="B23" s="41" t="s">
        <v>36</v>
      </c>
      <c r="C23" s="41" t="s">
        <v>37</v>
      </c>
      <c r="D23" s="41" t="s">
        <v>116</v>
      </c>
      <c r="E23" s="45" t="s">
        <v>103</v>
      </c>
      <c r="F23" s="42" t="s">
        <v>201</v>
      </c>
      <c r="G23" s="46" t="s">
        <v>23</v>
      </c>
      <c r="H23" s="62"/>
      <c r="I23" s="70"/>
      <c r="J23" s="66" t="s">
        <v>28</v>
      </c>
      <c r="K23" s="41">
        <v>3</v>
      </c>
      <c r="L23" s="41">
        <v>1</v>
      </c>
      <c r="M23" s="47">
        <v>500</v>
      </c>
      <c r="N23" s="43">
        <v>7</v>
      </c>
      <c r="O23" s="57">
        <v>223</v>
      </c>
      <c r="P23" s="57">
        <v>235</v>
      </c>
      <c r="Q23" s="57">
        <v>226</v>
      </c>
      <c r="R23" s="48">
        <v>720</v>
      </c>
      <c r="S23" s="43">
        <v>228</v>
      </c>
      <c r="T23" s="44">
        <v>32</v>
      </c>
    </row>
    <row r="24" spans="1:20" ht="29.25" thickBot="1" x14ac:dyDescent="0.3">
      <c r="A24" s="52" t="s">
        <v>35</v>
      </c>
      <c r="B24" s="41" t="s">
        <v>36</v>
      </c>
      <c r="C24" s="41" t="s">
        <v>37</v>
      </c>
      <c r="D24" s="41" t="s">
        <v>116</v>
      </c>
      <c r="E24" s="45" t="s">
        <v>103</v>
      </c>
      <c r="F24" s="42" t="s">
        <v>200</v>
      </c>
      <c r="G24" s="46" t="s">
        <v>23</v>
      </c>
      <c r="H24" s="62"/>
      <c r="I24" s="70"/>
      <c r="J24" s="66" t="s">
        <v>28</v>
      </c>
      <c r="K24" s="41">
        <v>3</v>
      </c>
      <c r="L24" s="41">
        <v>1</v>
      </c>
      <c r="M24" s="47">
        <v>500</v>
      </c>
      <c r="N24" s="43">
        <v>5</v>
      </c>
      <c r="O24" s="57">
        <v>229</v>
      </c>
      <c r="P24" s="57">
        <v>217</v>
      </c>
      <c r="Q24" s="57">
        <v>226</v>
      </c>
      <c r="R24" s="48">
        <v>720</v>
      </c>
      <c r="S24" s="43">
        <v>224</v>
      </c>
      <c r="T24" s="44">
        <v>31</v>
      </c>
    </row>
    <row r="25" spans="1:20" ht="30.75" thickBot="1" x14ac:dyDescent="0.3">
      <c r="A25" s="52" t="s">
        <v>35</v>
      </c>
      <c r="B25" s="41" t="s">
        <v>36</v>
      </c>
      <c r="C25" s="41" t="s">
        <v>37</v>
      </c>
      <c r="D25" s="41" t="s">
        <v>116</v>
      </c>
      <c r="E25" s="45" t="s">
        <v>204</v>
      </c>
      <c r="F25" s="42" t="s">
        <v>205</v>
      </c>
      <c r="G25" s="46" t="s">
        <v>23</v>
      </c>
      <c r="H25" s="62" t="s">
        <v>573</v>
      </c>
      <c r="I25" s="70">
        <v>1986</v>
      </c>
      <c r="J25" s="66" t="s">
        <v>28</v>
      </c>
      <c r="K25" s="41">
        <v>3</v>
      </c>
      <c r="L25" s="41">
        <v>1</v>
      </c>
      <c r="M25" s="47">
        <v>300</v>
      </c>
      <c r="N25" s="43">
        <v>6</v>
      </c>
      <c r="O25" s="57">
        <v>135</v>
      </c>
      <c r="P25" s="57">
        <v>146</v>
      </c>
      <c r="Q25" s="57">
        <v>139</v>
      </c>
      <c r="R25" s="48">
        <v>432</v>
      </c>
      <c r="S25" s="43">
        <v>140</v>
      </c>
      <c r="T25" s="44">
        <v>32</v>
      </c>
    </row>
    <row r="26" spans="1:20" ht="30.75" thickBot="1" x14ac:dyDescent="0.3">
      <c r="A26" s="52" t="s">
        <v>35</v>
      </c>
      <c r="B26" s="41" t="s">
        <v>36</v>
      </c>
      <c r="C26" s="41" t="s">
        <v>37</v>
      </c>
      <c r="D26" s="41" t="s">
        <v>116</v>
      </c>
      <c r="E26" s="45" t="s">
        <v>204</v>
      </c>
      <c r="F26" s="42" t="s">
        <v>206</v>
      </c>
      <c r="G26" s="46" t="s">
        <v>23</v>
      </c>
      <c r="H26" s="62" t="s">
        <v>573</v>
      </c>
      <c r="I26" s="70">
        <v>1985</v>
      </c>
      <c r="J26" s="66" t="s">
        <v>28</v>
      </c>
      <c r="K26" s="41">
        <v>3</v>
      </c>
      <c r="L26" s="41">
        <v>1</v>
      </c>
      <c r="M26" s="47">
        <v>300</v>
      </c>
      <c r="N26" s="43">
        <v>4</v>
      </c>
      <c r="O26" s="57">
        <v>137</v>
      </c>
      <c r="P26" s="57">
        <v>127</v>
      </c>
      <c r="Q26" s="57">
        <v>135</v>
      </c>
      <c r="R26" s="48">
        <v>432</v>
      </c>
      <c r="S26" s="43">
        <v>133</v>
      </c>
      <c r="T26" s="44">
        <v>31</v>
      </c>
    </row>
    <row r="27" spans="1:20" ht="30.75" thickBot="1" x14ac:dyDescent="0.3">
      <c r="A27" s="52" t="s">
        <v>35</v>
      </c>
      <c r="B27" s="41" t="s">
        <v>36</v>
      </c>
      <c r="C27" s="41" t="s">
        <v>37</v>
      </c>
      <c r="D27" s="41" t="s">
        <v>116</v>
      </c>
      <c r="E27" s="45" t="s">
        <v>204</v>
      </c>
      <c r="F27" s="42" t="s">
        <v>557</v>
      </c>
      <c r="G27" s="46" t="s">
        <v>23</v>
      </c>
      <c r="H27" s="62" t="s">
        <v>573</v>
      </c>
      <c r="I27" s="70">
        <v>1997</v>
      </c>
      <c r="J27" s="66" t="s">
        <v>28</v>
      </c>
      <c r="K27" s="41">
        <v>3</v>
      </c>
      <c r="L27" s="41"/>
      <c r="M27" s="47">
        <v>500</v>
      </c>
      <c r="N27" s="43">
        <f t="shared" ref="N27:N61" si="6">MAX(O27:Q27)-AVERAGE(O27:Q27)</f>
        <v>8.3333333333333144</v>
      </c>
      <c r="O27" s="57">
        <v>269</v>
      </c>
      <c r="P27" s="57">
        <v>252</v>
      </c>
      <c r="Q27" s="57">
        <v>273</v>
      </c>
      <c r="R27" s="48">
        <f t="shared" ref="R27:R61" si="7">1.44*M27</f>
        <v>720</v>
      </c>
      <c r="S27" s="43">
        <f t="shared" ref="S27:S61" si="8">(Q27+P27+O27)/3</f>
        <v>264.66666666666669</v>
      </c>
      <c r="T27" s="44">
        <f t="shared" ref="T27:T61" si="9">ROUND(((AVERAGE(O27,Q27,P27))/(M27*1.44))*100,0)</f>
        <v>37</v>
      </c>
    </row>
    <row r="28" spans="1:20" ht="30.75" thickBot="1" x14ac:dyDescent="0.3">
      <c r="A28" s="52" t="s">
        <v>35</v>
      </c>
      <c r="B28" s="41" t="s">
        <v>36</v>
      </c>
      <c r="C28" s="41" t="s">
        <v>37</v>
      </c>
      <c r="D28" s="41" t="s">
        <v>116</v>
      </c>
      <c r="E28" s="45" t="s">
        <v>204</v>
      </c>
      <c r="F28" s="42" t="s">
        <v>209</v>
      </c>
      <c r="G28" s="46" t="s">
        <v>23</v>
      </c>
      <c r="H28" s="62"/>
      <c r="I28" s="70"/>
      <c r="J28" s="66" t="s">
        <v>28</v>
      </c>
      <c r="K28" s="41">
        <v>3</v>
      </c>
      <c r="L28" s="41">
        <v>1</v>
      </c>
      <c r="M28" s="47">
        <v>300</v>
      </c>
      <c r="N28" s="43">
        <f t="shared" si="6"/>
        <v>5.6666666666666572</v>
      </c>
      <c r="O28" s="57">
        <v>151</v>
      </c>
      <c r="P28" s="57">
        <v>146</v>
      </c>
      <c r="Q28" s="57">
        <v>139</v>
      </c>
      <c r="R28" s="48">
        <f t="shared" si="7"/>
        <v>432</v>
      </c>
      <c r="S28" s="43">
        <f t="shared" si="8"/>
        <v>145.33333333333334</v>
      </c>
      <c r="T28" s="44">
        <f t="shared" si="9"/>
        <v>34</v>
      </c>
    </row>
    <row r="29" spans="1:20" ht="30.75" thickBot="1" x14ac:dyDescent="0.3">
      <c r="A29" s="52" t="s">
        <v>35</v>
      </c>
      <c r="B29" s="41" t="s">
        <v>36</v>
      </c>
      <c r="C29" s="41" t="s">
        <v>37</v>
      </c>
      <c r="D29" s="41" t="s">
        <v>116</v>
      </c>
      <c r="E29" s="45" t="s">
        <v>213</v>
      </c>
      <c r="F29" s="42" t="s">
        <v>219</v>
      </c>
      <c r="G29" s="46" t="s">
        <v>23</v>
      </c>
      <c r="H29" s="62"/>
      <c r="I29" s="70"/>
      <c r="J29" s="66" t="s">
        <v>28</v>
      </c>
      <c r="K29" s="41">
        <v>3</v>
      </c>
      <c r="L29" s="41"/>
      <c r="M29" s="47">
        <v>500</v>
      </c>
      <c r="N29" s="43">
        <f t="shared" si="6"/>
        <v>7</v>
      </c>
      <c r="O29" s="47">
        <v>249</v>
      </c>
      <c r="P29" s="47">
        <v>234</v>
      </c>
      <c r="Q29" s="47">
        <v>243</v>
      </c>
      <c r="R29" s="48">
        <f t="shared" si="7"/>
        <v>720</v>
      </c>
      <c r="S29" s="43">
        <f t="shared" si="8"/>
        <v>242</v>
      </c>
      <c r="T29" s="44">
        <f t="shared" si="9"/>
        <v>34</v>
      </c>
    </row>
    <row r="30" spans="1:20" ht="29.25" thickBot="1" x14ac:dyDescent="0.3">
      <c r="A30" s="52" t="s">
        <v>35</v>
      </c>
      <c r="B30" s="41" t="s">
        <v>36</v>
      </c>
      <c r="C30" s="41" t="s">
        <v>37</v>
      </c>
      <c r="D30" s="41" t="s">
        <v>116</v>
      </c>
      <c r="E30" s="45" t="s">
        <v>213</v>
      </c>
      <c r="F30" s="42" t="s">
        <v>215</v>
      </c>
      <c r="G30" s="46" t="s">
        <v>23</v>
      </c>
      <c r="H30" s="62"/>
      <c r="I30" s="70"/>
      <c r="J30" s="66" t="s">
        <v>28</v>
      </c>
      <c r="K30" s="41">
        <v>3</v>
      </c>
      <c r="L30" s="41">
        <v>2</v>
      </c>
      <c r="M30" s="47">
        <v>500</v>
      </c>
      <c r="N30" s="43">
        <f t="shared" si="6"/>
        <v>6</v>
      </c>
      <c r="O30" s="47">
        <v>256</v>
      </c>
      <c r="P30" s="47">
        <v>243</v>
      </c>
      <c r="Q30" s="47">
        <v>251</v>
      </c>
      <c r="R30" s="48">
        <f t="shared" si="7"/>
        <v>720</v>
      </c>
      <c r="S30" s="43">
        <f t="shared" si="8"/>
        <v>250</v>
      </c>
      <c r="T30" s="44">
        <f t="shared" si="9"/>
        <v>35</v>
      </c>
    </row>
    <row r="31" spans="1:20" ht="29.25" thickBot="1" x14ac:dyDescent="0.3">
      <c r="A31" s="52" t="s">
        <v>35</v>
      </c>
      <c r="B31" s="41" t="s">
        <v>36</v>
      </c>
      <c r="C31" s="41" t="s">
        <v>37</v>
      </c>
      <c r="D31" s="41" t="s">
        <v>116</v>
      </c>
      <c r="E31" s="45" t="s">
        <v>213</v>
      </c>
      <c r="F31" s="42" t="s">
        <v>217</v>
      </c>
      <c r="G31" s="46" t="s">
        <v>23</v>
      </c>
      <c r="H31" s="62"/>
      <c r="I31" s="70"/>
      <c r="J31" s="66" t="s">
        <v>28</v>
      </c>
      <c r="K31" s="41">
        <v>3</v>
      </c>
      <c r="L31" s="41">
        <v>2</v>
      </c>
      <c r="M31" s="47">
        <v>500</v>
      </c>
      <c r="N31" s="43">
        <f t="shared" si="6"/>
        <v>7</v>
      </c>
      <c r="O31" s="47">
        <v>309</v>
      </c>
      <c r="P31" s="47">
        <v>318</v>
      </c>
      <c r="Q31" s="47">
        <v>306</v>
      </c>
      <c r="R31" s="48">
        <f t="shared" si="7"/>
        <v>720</v>
      </c>
      <c r="S31" s="43">
        <f t="shared" si="8"/>
        <v>311</v>
      </c>
      <c r="T31" s="44">
        <f t="shared" si="9"/>
        <v>43</v>
      </c>
    </row>
    <row r="32" spans="1:20" ht="45.75" thickBot="1" x14ac:dyDescent="0.3">
      <c r="A32" s="52" t="s">
        <v>35</v>
      </c>
      <c r="B32" s="41" t="s">
        <v>36</v>
      </c>
      <c r="C32" s="41" t="s">
        <v>37</v>
      </c>
      <c r="D32" s="41" t="s">
        <v>116</v>
      </c>
      <c r="E32" s="45" t="s">
        <v>213</v>
      </c>
      <c r="F32" s="42" t="s">
        <v>218</v>
      </c>
      <c r="G32" s="46" t="s">
        <v>23</v>
      </c>
      <c r="H32" s="62"/>
      <c r="I32" s="70"/>
      <c r="J32" s="66" t="s">
        <v>28</v>
      </c>
      <c r="K32" s="41">
        <v>3</v>
      </c>
      <c r="L32" s="41">
        <v>5</v>
      </c>
      <c r="M32" s="47">
        <v>1000</v>
      </c>
      <c r="N32" s="43">
        <f t="shared" si="6"/>
        <v>5</v>
      </c>
      <c r="O32" s="47">
        <v>670</v>
      </c>
      <c r="P32" s="47">
        <v>657</v>
      </c>
      <c r="Q32" s="47">
        <v>668</v>
      </c>
      <c r="R32" s="48">
        <f t="shared" si="7"/>
        <v>1440</v>
      </c>
      <c r="S32" s="43">
        <f t="shared" si="8"/>
        <v>665</v>
      </c>
      <c r="T32" s="44">
        <f t="shared" si="9"/>
        <v>46</v>
      </c>
    </row>
    <row r="33" spans="1:20" ht="29.25" thickBot="1" x14ac:dyDescent="0.3">
      <c r="A33" s="52" t="s">
        <v>35</v>
      </c>
      <c r="B33" s="41" t="s">
        <v>36</v>
      </c>
      <c r="C33" s="41" t="s">
        <v>37</v>
      </c>
      <c r="D33" s="41" t="s">
        <v>116</v>
      </c>
      <c r="E33" s="45" t="s">
        <v>220</v>
      </c>
      <c r="F33" s="42" t="s">
        <v>226</v>
      </c>
      <c r="G33" s="46" t="s">
        <v>23</v>
      </c>
      <c r="H33" s="62"/>
      <c r="I33" s="70"/>
      <c r="J33" s="66" t="s">
        <v>28</v>
      </c>
      <c r="K33" s="41">
        <v>3</v>
      </c>
      <c r="L33" s="41">
        <v>1</v>
      </c>
      <c r="M33" s="47">
        <v>300</v>
      </c>
      <c r="N33" s="43">
        <f t="shared" si="6"/>
        <v>6.6666666666666572</v>
      </c>
      <c r="O33" s="57">
        <v>129</v>
      </c>
      <c r="P33" s="57">
        <v>133</v>
      </c>
      <c r="Q33" s="57">
        <v>141</v>
      </c>
      <c r="R33" s="48">
        <f t="shared" si="7"/>
        <v>432</v>
      </c>
      <c r="S33" s="43">
        <f t="shared" si="8"/>
        <v>134.33333333333334</v>
      </c>
      <c r="T33" s="44">
        <f t="shared" si="9"/>
        <v>31</v>
      </c>
    </row>
    <row r="34" spans="1:20" ht="29.25" thickBot="1" x14ac:dyDescent="0.3">
      <c r="A34" s="52" t="s">
        <v>35</v>
      </c>
      <c r="B34" s="41" t="s">
        <v>36</v>
      </c>
      <c r="C34" s="41" t="s">
        <v>37</v>
      </c>
      <c r="D34" s="41" t="s">
        <v>227</v>
      </c>
      <c r="E34" s="45" t="s">
        <v>228</v>
      </c>
      <c r="F34" s="42" t="s">
        <v>229</v>
      </c>
      <c r="G34" s="46" t="s">
        <v>23</v>
      </c>
      <c r="H34" s="62"/>
      <c r="I34" s="70"/>
      <c r="J34" s="66" t="s">
        <v>28</v>
      </c>
      <c r="K34" s="41">
        <v>3</v>
      </c>
      <c r="L34" s="41">
        <v>2</v>
      </c>
      <c r="M34" s="47">
        <v>1000</v>
      </c>
      <c r="N34" s="43">
        <f t="shared" si="6"/>
        <v>7</v>
      </c>
      <c r="O34" s="57">
        <v>468</v>
      </c>
      <c r="P34" s="57">
        <v>462</v>
      </c>
      <c r="Q34" s="57">
        <v>453</v>
      </c>
      <c r="R34" s="48">
        <f t="shared" si="7"/>
        <v>1440</v>
      </c>
      <c r="S34" s="43">
        <f t="shared" si="8"/>
        <v>461</v>
      </c>
      <c r="T34" s="44">
        <f t="shared" si="9"/>
        <v>32</v>
      </c>
    </row>
    <row r="35" spans="1:20" ht="30.75" thickBot="1" x14ac:dyDescent="0.3">
      <c r="A35" s="52" t="s">
        <v>35</v>
      </c>
      <c r="B35" s="41" t="s">
        <v>36</v>
      </c>
      <c r="C35" s="41" t="s">
        <v>37</v>
      </c>
      <c r="D35" s="41" t="s">
        <v>227</v>
      </c>
      <c r="E35" s="45" t="s">
        <v>228</v>
      </c>
      <c r="F35" s="42" t="s">
        <v>550</v>
      </c>
      <c r="G35" s="46" t="s">
        <v>23</v>
      </c>
      <c r="H35" s="63"/>
      <c r="I35" s="71"/>
      <c r="J35" s="66" t="s">
        <v>25</v>
      </c>
      <c r="K35" s="41">
        <v>3</v>
      </c>
      <c r="L35" s="41">
        <v>2</v>
      </c>
      <c r="M35" s="47">
        <v>500</v>
      </c>
      <c r="N35" s="43">
        <f t="shared" si="6"/>
        <v>6.3333333333333428</v>
      </c>
      <c r="O35" s="47">
        <v>255</v>
      </c>
      <c r="P35" s="47">
        <v>260</v>
      </c>
      <c r="Q35" s="47">
        <v>246</v>
      </c>
      <c r="R35" s="48">
        <f t="shared" si="7"/>
        <v>720</v>
      </c>
      <c r="S35" s="43">
        <f t="shared" si="8"/>
        <v>253.66666666666666</v>
      </c>
      <c r="T35" s="44">
        <f t="shared" si="9"/>
        <v>35</v>
      </c>
    </row>
    <row r="36" spans="1:20" ht="29.25" thickBot="1" x14ac:dyDescent="0.3">
      <c r="A36" s="52" t="s">
        <v>35</v>
      </c>
      <c r="B36" s="41" t="s">
        <v>36</v>
      </c>
      <c r="C36" s="41" t="s">
        <v>37</v>
      </c>
      <c r="D36" s="41" t="s">
        <v>227</v>
      </c>
      <c r="E36" s="45" t="s">
        <v>228</v>
      </c>
      <c r="F36" s="42" t="s">
        <v>235</v>
      </c>
      <c r="G36" s="46" t="s">
        <v>23</v>
      </c>
      <c r="H36" s="62"/>
      <c r="I36" s="70"/>
      <c r="J36" s="66" t="s">
        <v>28</v>
      </c>
      <c r="K36" s="41">
        <v>3</v>
      </c>
      <c r="L36" s="41">
        <v>1</v>
      </c>
      <c r="M36" s="47">
        <v>300</v>
      </c>
      <c r="N36" s="43">
        <f t="shared" si="6"/>
        <v>6.6666666666666572</v>
      </c>
      <c r="O36" s="57">
        <v>146</v>
      </c>
      <c r="P36" s="57">
        <v>130</v>
      </c>
      <c r="Q36" s="57">
        <v>142</v>
      </c>
      <c r="R36" s="48">
        <f t="shared" si="7"/>
        <v>432</v>
      </c>
      <c r="S36" s="43">
        <f t="shared" si="8"/>
        <v>139.33333333333334</v>
      </c>
      <c r="T36" s="44">
        <f t="shared" si="9"/>
        <v>32</v>
      </c>
    </row>
    <row r="37" spans="1:20" ht="30.75" thickBot="1" x14ac:dyDescent="0.3">
      <c r="A37" s="52" t="s">
        <v>35</v>
      </c>
      <c r="B37" s="41" t="s">
        <v>36</v>
      </c>
      <c r="C37" s="41" t="s">
        <v>37</v>
      </c>
      <c r="D37" s="41" t="s">
        <v>227</v>
      </c>
      <c r="E37" s="45" t="s">
        <v>239</v>
      </c>
      <c r="F37" s="42" t="s">
        <v>240</v>
      </c>
      <c r="G37" s="46" t="s">
        <v>23</v>
      </c>
      <c r="H37" s="63"/>
      <c r="I37" s="71"/>
      <c r="J37" s="66" t="s">
        <v>25</v>
      </c>
      <c r="K37" s="41">
        <v>3</v>
      </c>
      <c r="L37" s="41">
        <v>3</v>
      </c>
      <c r="M37" s="47">
        <v>500</v>
      </c>
      <c r="N37" s="43">
        <f t="shared" si="6"/>
        <v>7</v>
      </c>
      <c r="O37" s="47">
        <v>326</v>
      </c>
      <c r="P37" s="47">
        <v>309</v>
      </c>
      <c r="Q37" s="47">
        <v>322</v>
      </c>
      <c r="R37" s="48">
        <f t="shared" si="7"/>
        <v>720</v>
      </c>
      <c r="S37" s="43">
        <f t="shared" si="8"/>
        <v>319</v>
      </c>
      <c r="T37" s="44">
        <f t="shared" si="9"/>
        <v>44</v>
      </c>
    </row>
    <row r="38" spans="1:20" ht="30.75" thickBot="1" x14ac:dyDescent="0.3">
      <c r="A38" s="52" t="s">
        <v>35</v>
      </c>
      <c r="B38" s="41" t="s">
        <v>36</v>
      </c>
      <c r="C38" s="41" t="s">
        <v>37</v>
      </c>
      <c r="D38" s="41" t="s">
        <v>227</v>
      </c>
      <c r="E38" s="45" t="s">
        <v>241</v>
      </c>
      <c r="F38" s="42" t="s">
        <v>584</v>
      </c>
      <c r="G38" s="46" t="s">
        <v>23</v>
      </c>
      <c r="H38" s="63"/>
      <c r="I38" s="71"/>
      <c r="J38" s="66" t="s">
        <v>28</v>
      </c>
      <c r="K38" s="41">
        <v>2</v>
      </c>
      <c r="L38" s="41">
        <v>1</v>
      </c>
      <c r="M38" s="47">
        <v>300</v>
      </c>
      <c r="N38" s="43">
        <f t="shared" si="6"/>
        <v>4.3333333333333428</v>
      </c>
      <c r="O38" s="47">
        <v>141</v>
      </c>
      <c r="P38" s="47">
        <v>146</v>
      </c>
      <c r="Q38" s="47">
        <v>138</v>
      </c>
      <c r="R38" s="48">
        <f t="shared" si="7"/>
        <v>432</v>
      </c>
      <c r="S38" s="43">
        <f t="shared" si="8"/>
        <v>141.66666666666666</v>
      </c>
      <c r="T38" s="44">
        <f t="shared" si="9"/>
        <v>33</v>
      </c>
    </row>
    <row r="39" spans="1:20" ht="30.75" thickBot="1" x14ac:dyDescent="0.3">
      <c r="A39" s="52" t="s">
        <v>35</v>
      </c>
      <c r="B39" s="41" t="s">
        <v>36</v>
      </c>
      <c r="C39" s="41" t="s">
        <v>37</v>
      </c>
      <c r="D39" s="41" t="s">
        <v>227</v>
      </c>
      <c r="E39" s="45" t="s">
        <v>241</v>
      </c>
      <c r="F39" s="42" t="s">
        <v>245</v>
      </c>
      <c r="G39" s="46" t="s">
        <v>23</v>
      </c>
      <c r="H39" s="63" t="s">
        <v>573</v>
      </c>
      <c r="I39" s="71">
        <v>2011</v>
      </c>
      <c r="J39" s="66" t="s">
        <v>25</v>
      </c>
      <c r="K39" s="41">
        <v>3</v>
      </c>
      <c r="L39" s="41">
        <v>3</v>
      </c>
      <c r="M39" s="47">
        <v>500</v>
      </c>
      <c r="N39" s="43">
        <f t="shared" si="6"/>
        <v>6.3333333333333428</v>
      </c>
      <c r="O39" s="57">
        <v>241</v>
      </c>
      <c r="P39" s="57">
        <v>236</v>
      </c>
      <c r="Q39" s="57">
        <v>248</v>
      </c>
      <c r="R39" s="48">
        <f t="shared" si="7"/>
        <v>720</v>
      </c>
      <c r="S39" s="43">
        <f t="shared" si="8"/>
        <v>241.66666666666666</v>
      </c>
      <c r="T39" s="44">
        <f t="shared" si="9"/>
        <v>34</v>
      </c>
    </row>
    <row r="40" spans="1:20" ht="30.75" thickBot="1" x14ac:dyDescent="0.3">
      <c r="A40" s="52" t="s">
        <v>35</v>
      </c>
      <c r="B40" s="41" t="s">
        <v>36</v>
      </c>
      <c r="C40" s="41" t="s">
        <v>37</v>
      </c>
      <c r="D40" s="41" t="s">
        <v>227</v>
      </c>
      <c r="E40" s="45" t="s">
        <v>241</v>
      </c>
      <c r="F40" s="42" t="s">
        <v>253</v>
      </c>
      <c r="G40" s="46" t="s">
        <v>23</v>
      </c>
      <c r="H40" s="62" t="s">
        <v>573</v>
      </c>
      <c r="I40" s="70">
        <v>1997</v>
      </c>
      <c r="J40" s="66" t="s">
        <v>28</v>
      </c>
      <c r="K40" s="41">
        <v>3</v>
      </c>
      <c r="L40" s="41"/>
      <c r="M40" s="47">
        <v>100</v>
      </c>
      <c r="N40" s="43">
        <f t="shared" si="6"/>
        <v>6.3333333333333357</v>
      </c>
      <c r="O40" s="57">
        <v>57</v>
      </c>
      <c r="P40" s="57">
        <v>46</v>
      </c>
      <c r="Q40" s="57">
        <v>49</v>
      </c>
      <c r="R40" s="48">
        <f t="shared" si="7"/>
        <v>144</v>
      </c>
      <c r="S40" s="43">
        <f t="shared" si="8"/>
        <v>50.666666666666664</v>
      </c>
      <c r="T40" s="44">
        <f t="shared" si="9"/>
        <v>35</v>
      </c>
    </row>
    <row r="41" spans="1:20" ht="30.75" thickBot="1" x14ac:dyDescent="0.3">
      <c r="A41" s="52" t="s">
        <v>35</v>
      </c>
      <c r="B41" s="41" t="s">
        <v>36</v>
      </c>
      <c r="C41" s="41" t="s">
        <v>37</v>
      </c>
      <c r="D41" s="41" t="s">
        <v>227</v>
      </c>
      <c r="E41" s="45" t="s">
        <v>241</v>
      </c>
      <c r="F41" s="42" t="s">
        <v>246</v>
      </c>
      <c r="G41" s="46" t="s">
        <v>23</v>
      </c>
      <c r="H41" s="63"/>
      <c r="I41" s="71"/>
      <c r="J41" s="66" t="s">
        <v>25</v>
      </c>
      <c r="K41" s="41">
        <v>3</v>
      </c>
      <c r="L41" s="41">
        <v>3</v>
      </c>
      <c r="M41" s="47">
        <v>500</v>
      </c>
      <c r="N41" s="43">
        <f t="shared" si="6"/>
        <v>5.3333333333333428</v>
      </c>
      <c r="O41" s="57">
        <v>246</v>
      </c>
      <c r="P41" s="57">
        <v>235</v>
      </c>
      <c r="Q41" s="57">
        <v>241</v>
      </c>
      <c r="R41" s="48">
        <f t="shared" si="7"/>
        <v>720</v>
      </c>
      <c r="S41" s="43">
        <f t="shared" si="8"/>
        <v>240.66666666666666</v>
      </c>
      <c r="T41" s="44">
        <f t="shared" si="9"/>
        <v>33</v>
      </c>
    </row>
    <row r="42" spans="1:20" ht="30.75" thickBot="1" x14ac:dyDescent="0.3">
      <c r="A42" s="52" t="s">
        <v>35</v>
      </c>
      <c r="B42" s="41" t="s">
        <v>36</v>
      </c>
      <c r="C42" s="41" t="s">
        <v>37</v>
      </c>
      <c r="D42" s="41" t="s">
        <v>227</v>
      </c>
      <c r="E42" s="45" t="s">
        <v>241</v>
      </c>
      <c r="F42" s="42" t="s">
        <v>257</v>
      </c>
      <c r="G42" s="46" t="s">
        <v>23</v>
      </c>
      <c r="H42" s="62" t="s">
        <v>598</v>
      </c>
      <c r="I42" s="70">
        <v>1978</v>
      </c>
      <c r="J42" s="66" t="s">
        <v>28</v>
      </c>
      <c r="K42" s="41">
        <v>3</v>
      </c>
      <c r="L42" s="41"/>
      <c r="M42" s="47">
        <v>63</v>
      </c>
      <c r="N42" s="43">
        <f t="shared" si="6"/>
        <v>6.6666666666666643</v>
      </c>
      <c r="O42" s="57">
        <v>48</v>
      </c>
      <c r="P42" s="57">
        <v>52</v>
      </c>
      <c r="Q42" s="57">
        <v>60</v>
      </c>
      <c r="R42" s="48">
        <f t="shared" si="7"/>
        <v>90.72</v>
      </c>
      <c r="S42" s="43">
        <f t="shared" si="8"/>
        <v>53.333333333333336</v>
      </c>
      <c r="T42" s="44">
        <f t="shared" si="9"/>
        <v>59</v>
      </c>
    </row>
    <row r="43" spans="1:20" ht="30.75" thickBot="1" x14ac:dyDescent="0.3">
      <c r="A43" s="52" t="s">
        <v>35</v>
      </c>
      <c r="B43" s="41" t="s">
        <v>36</v>
      </c>
      <c r="C43" s="41" t="s">
        <v>37</v>
      </c>
      <c r="D43" s="41" t="s">
        <v>227</v>
      </c>
      <c r="E43" s="45" t="s">
        <v>241</v>
      </c>
      <c r="F43" s="42" t="s">
        <v>249</v>
      </c>
      <c r="G43" s="46" t="s">
        <v>23</v>
      </c>
      <c r="H43" s="63"/>
      <c r="I43" s="71"/>
      <c r="J43" s="66" t="s">
        <v>25</v>
      </c>
      <c r="K43" s="41">
        <v>3</v>
      </c>
      <c r="L43" s="41">
        <v>2</v>
      </c>
      <c r="M43" s="47">
        <v>500</v>
      </c>
      <c r="N43" s="43">
        <f t="shared" si="6"/>
        <v>6</v>
      </c>
      <c r="O43" s="47">
        <v>278</v>
      </c>
      <c r="P43" s="47">
        <v>263</v>
      </c>
      <c r="Q43" s="47">
        <v>275</v>
      </c>
      <c r="R43" s="48">
        <f t="shared" si="7"/>
        <v>720</v>
      </c>
      <c r="S43" s="43">
        <f t="shared" si="8"/>
        <v>272</v>
      </c>
      <c r="T43" s="44">
        <f t="shared" si="9"/>
        <v>38</v>
      </c>
    </row>
    <row r="44" spans="1:20" ht="29.25" thickBot="1" x14ac:dyDescent="0.3">
      <c r="A44" s="52" t="s">
        <v>35</v>
      </c>
      <c r="B44" s="41" t="s">
        <v>36</v>
      </c>
      <c r="C44" s="41" t="s">
        <v>37</v>
      </c>
      <c r="D44" s="41" t="s">
        <v>227</v>
      </c>
      <c r="E44" s="45" t="s">
        <v>260</v>
      </c>
      <c r="F44" s="42" t="s">
        <v>261</v>
      </c>
      <c r="G44" s="46" t="s">
        <v>23</v>
      </c>
      <c r="H44" s="63" t="s">
        <v>573</v>
      </c>
      <c r="I44" s="71">
        <v>1990</v>
      </c>
      <c r="J44" s="66" t="s">
        <v>25</v>
      </c>
      <c r="K44" s="41">
        <v>3</v>
      </c>
      <c r="L44" s="41">
        <v>4</v>
      </c>
      <c r="M44" s="47">
        <v>500</v>
      </c>
      <c r="N44" s="43">
        <f t="shared" si="6"/>
        <v>5.6666666666666856</v>
      </c>
      <c r="O44" s="47">
        <v>367</v>
      </c>
      <c r="P44" s="47">
        <v>358</v>
      </c>
      <c r="Q44" s="47">
        <v>371</v>
      </c>
      <c r="R44" s="48">
        <f t="shared" si="7"/>
        <v>720</v>
      </c>
      <c r="S44" s="43">
        <f t="shared" si="8"/>
        <v>365.33333333333331</v>
      </c>
      <c r="T44" s="44">
        <f t="shared" si="9"/>
        <v>51</v>
      </c>
    </row>
    <row r="45" spans="1:20" ht="29.25" thickBot="1" x14ac:dyDescent="0.3">
      <c r="A45" s="52" t="s">
        <v>35</v>
      </c>
      <c r="B45" s="41" t="s">
        <v>36</v>
      </c>
      <c r="C45" s="41" t="s">
        <v>37</v>
      </c>
      <c r="D45" s="41" t="s">
        <v>227</v>
      </c>
      <c r="E45" s="41" t="s">
        <v>260</v>
      </c>
      <c r="F45" s="42" t="s">
        <v>267</v>
      </c>
      <c r="G45" s="46" t="s">
        <v>23</v>
      </c>
      <c r="H45" s="62" t="s">
        <v>573</v>
      </c>
      <c r="I45" s="70">
        <v>2004</v>
      </c>
      <c r="J45" s="66" t="s">
        <v>28</v>
      </c>
      <c r="K45" s="41">
        <v>3</v>
      </c>
      <c r="L45" s="41"/>
      <c r="M45" s="47">
        <v>300</v>
      </c>
      <c r="N45" s="43">
        <f t="shared" si="6"/>
        <v>6.6666666666666572</v>
      </c>
      <c r="O45" s="57">
        <v>132</v>
      </c>
      <c r="P45" s="57">
        <v>140</v>
      </c>
      <c r="Q45" s="57">
        <v>128</v>
      </c>
      <c r="R45" s="48">
        <f t="shared" si="7"/>
        <v>432</v>
      </c>
      <c r="S45" s="43">
        <f t="shared" si="8"/>
        <v>133.33333333333334</v>
      </c>
      <c r="T45" s="44">
        <f t="shared" si="9"/>
        <v>31</v>
      </c>
    </row>
    <row r="46" spans="1:20" ht="30.75" thickBot="1" x14ac:dyDescent="0.3">
      <c r="A46" s="52" t="s">
        <v>35</v>
      </c>
      <c r="B46" s="41" t="s">
        <v>36</v>
      </c>
      <c r="C46" s="41" t="s">
        <v>37</v>
      </c>
      <c r="D46" s="93" t="s">
        <v>227</v>
      </c>
      <c r="E46" s="93" t="s">
        <v>260</v>
      </c>
      <c r="F46" s="42" t="s">
        <v>264</v>
      </c>
      <c r="G46" s="46" t="s">
        <v>23</v>
      </c>
      <c r="H46" s="63"/>
      <c r="I46" s="71"/>
      <c r="J46" s="66" t="s">
        <v>25</v>
      </c>
      <c r="K46" s="41">
        <v>3</v>
      </c>
      <c r="L46" s="41">
        <v>1</v>
      </c>
      <c r="M46" s="47">
        <v>300</v>
      </c>
      <c r="N46" s="43">
        <f t="shared" si="6"/>
        <v>6.3333333333333428</v>
      </c>
      <c r="O46" s="57">
        <v>146</v>
      </c>
      <c r="P46" s="57">
        <v>147</v>
      </c>
      <c r="Q46" s="57">
        <v>156</v>
      </c>
      <c r="R46" s="48">
        <f t="shared" si="7"/>
        <v>432</v>
      </c>
      <c r="S46" s="43">
        <f t="shared" si="8"/>
        <v>149.66666666666666</v>
      </c>
      <c r="T46" s="44">
        <f t="shared" si="9"/>
        <v>35</v>
      </c>
    </row>
    <row r="47" spans="1:20" ht="29.25" thickBot="1" x14ac:dyDescent="0.3">
      <c r="A47" s="52" t="s">
        <v>35</v>
      </c>
      <c r="B47" s="41" t="s">
        <v>36</v>
      </c>
      <c r="C47" s="41" t="s">
        <v>37</v>
      </c>
      <c r="D47" s="41" t="s">
        <v>227</v>
      </c>
      <c r="E47" s="41" t="s">
        <v>260</v>
      </c>
      <c r="F47" s="42" t="s">
        <v>266</v>
      </c>
      <c r="G47" s="46" t="s">
        <v>23</v>
      </c>
      <c r="H47" s="62"/>
      <c r="I47" s="70"/>
      <c r="J47" s="66" t="s">
        <v>28</v>
      </c>
      <c r="K47" s="41">
        <v>3</v>
      </c>
      <c r="L47" s="41">
        <v>4</v>
      </c>
      <c r="M47" s="47">
        <v>500</v>
      </c>
      <c r="N47" s="43">
        <f t="shared" si="6"/>
        <v>6.6666666666666856</v>
      </c>
      <c r="O47" s="57">
        <v>312</v>
      </c>
      <c r="P47" s="57">
        <v>299</v>
      </c>
      <c r="Q47" s="57">
        <v>305</v>
      </c>
      <c r="R47" s="48">
        <f t="shared" si="7"/>
        <v>720</v>
      </c>
      <c r="S47" s="43">
        <f t="shared" si="8"/>
        <v>305.33333333333331</v>
      </c>
      <c r="T47" s="44">
        <f t="shared" si="9"/>
        <v>42</v>
      </c>
    </row>
    <row r="48" spans="1:20" ht="29.25" thickBot="1" x14ac:dyDescent="0.3">
      <c r="A48" s="52" t="s">
        <v>35</v>
      </c>
      <c r="B48" s="41" t="s">
        <v>36</v>
      </c>
      <c r="C48" s="41" t="s">
        <v>37</v>
      </c>
      <c r="D48" s="41" t="s">
        <v>227</v>
      </c>
      <c r="E48" s="41" t="s">
        <v>271</v>
      </c>
      <c r="F48" s="42" t="s">
        <v>278</v>
      </c>
      <c r="G48" s="46" t="s">
        <v>23</v>
      </c>
      <c r="H48" s="74" t="s">
        <v>593</v>
      </c>
      <c r="I48" s="70">
        <v>2013</v>
      </c>
      <c r="J48" s="66" t="s">
        <v>28</v>
      </c>
      <c r="K48" s="41">
        <v>3</v>
      </c>
      <c r="L48" s="47"/>
      <c r="M48" s="47">
        <v>100</v>
      </c>
      <c r="N48" s="43">
        <f t="shared" si="6"/>
        <v>6.3333333333333357</v>
      </c>
      <c r="O48" s="57">
        <v>56</v>
      </c>
      <c r="P48" s="57">
        <v>67</v>
      </c>
      <c r="Q48" s="57">
        <v>59</v>
      </c>
      <c r="R48" s="48">
        <f t="shared" si="7"/>
        <v>144</v>
      </c>
      <c r="S48" s="43">
        <f t="shared" si="8"/>
        <v>60.666666666666664</v>
      </c>
      <c r="T48" s="44">
        <f t="shared" si="9"/>
        <v>42</v>
      </c>
    </row>
    <row r="49" spans="1:20" ht="29.25" thickBot="1" x14ac:dyDescent="0.3">
      <c r="A49" s="52" t="s">
        <v>35</v>
      </c>
      <c r="B49" s="41" t="s">
        <v>36</v>
      </c>
      <c r="C49" s="41" t="s">
        <v>37</v>
      </c>
      <c r="D49" s="41" t="s">
        <v>227</v>
      </c>
      <c r="E49" s="41" t="s">
        <v>271</v>
      </c>
      <c r="F49" s="42" t="s">
        <v>274</v>
      </c>
      <c r="G49" s="46" t="s">
        <v>23</v>
      </c>
      <c r="H49" s="63" t="s">
        <v>573</v>
      </c>
      <c r="I49" s="71">
        <v>2007</v>
      </c>
      <c r="J49" s="66" t="s">
        <v>25</v>
      </c>
      <c r="K49" s="41">
        <v>3</v>
      </c>
      <c r="L49" s="47">
        <v>3</v>
      </c>
      <c r="M49" s="47">
        <v>800</v>
      </c>
      <c r="N49" s="43">
        <f t="shared" si="6"/>
        <v>6</v>
      </c>
      <c r="O49" s="57">
        <v>420</v>
      </c>
      <c r="P49" s="57">
        <v>409</v>
      </c>
      <c r="Q49" s="57">
        <v>413</v>
      </c>
      <c r="R49" s="48">
        <f t="shared" si="7"/>
        <v>1152</v>
      </c>
      <c r="S49" s="43">
        <f t="shared" si="8"/>
        <v>414</v>
      </c>
      <c r="T49" s="44">
        <f t="shared" si="9"/>
        <v>36</v>
      </c>
    </row>
    <row r="50" spans="1:20" ht="30.75" thickBot="1" x14ac:dyDescent="0.3">
      <c r="A50" s="52" t="s">
        <v>35</v>
      </c>
      <c r="B50" s="41" t="s">
        <v>36</v>
      </c>
      <c r="C50" s="41" t="s">
        <v>37</v>
      </c>
      <c r="D50" s="41" t="s">
        <v>227</v>
      </c>
      <c r="E50" s="41" t="s">
        <v>271</v>
      </c>
      <c r="F50" s="42" t="s">
        <v>275</v>
      </c>
      <c r="G50" s="46" t="s">
        <v>23</v>
      </c>
      <c r="H50" s="63"/>
      <c r="I50" s="71"/>
      <c r="J50" s="66" t="s">
        <v>25</v>
      </c>
      <c r="K50" s="41">
        <v>3</v>
      </c>
      <c r="L50" s="47">
        <v>3</v>
      </c>
      <c r="M50" s="47">
        <v>500</v>
      </c>
      <c r="N50" s="43">
        <f t="shared" si="6"/>
        <v>7.3333333333333144</v>
      </c>
      <c r="O50" s="57">
        <v>370</v>
      </c>
      <c r="P50" s="57">
        <v>362</v>
      </c>
      <c r="Q50" s="57">
        <v>356</v>
      </c>
      <c r="R50" s="48">
        <f t="shared" si="7"/>
        <v>720</v>
      </c>
      <c r="S50" s="43">
        <f t="shared" si="8"/>
        <v>362.66666666666669</v>
      </c>
      <c r="T50" s="44">
        <f t="shared" si="9"/>
        <v>50</v>
      </c>
    </row>
    <row r="51" spans="1:20" ht="30.75" thickBot="1" x14ac:dyDescent="0.3">
      <c r="A51" s="52" t="s">
        <v>35</v>
      </c>
      <c r="B51" s="41" t="s">
        <v>36</v>
      </c>
      <c r="C51" s="41" t="s">
        <v>37</v>
      </c>
      <c r="D51" s="41" t="s">
        <v>227</v>
      </c>
      <c r="E51" s="41" t="s">
        <v>271</v>
      </c>
      <c r="F51" s="42" t="s">
        <v>276</v>
      </c>
      <c r="G51" s="46" t="s">
        <v>23</v>
      </c>
      <c r="H51" s="63"/>
      <c r="I51" s="71"/>
      <c r="J51" s="66" t="s">
        <v>25</v>
      </c>
      <c r="K51" s="41">
        <v>3</v>
      </c>
      <c r="L51" s="47">
        <v>3</v>
      </c>
      <c r="M51" s="47">
        <v>500</v>
      </c>
      <c r="N51" s="43">
        <f t="shared" si="6"/>
        <v>5.6666666666666856</v>
      </c>
      <c r="O51" s="47">
        <v>289</v>
      </c>
      <c r="P51" s="47">
        <v>275</v>
      </c>
      <c r="Q51" s="47">
        <v>286</v>
      </c>
      <c r="R51" s="48">
        <f t="shared" si="7"/>
        <v>720</v>
      </c>
      <c r="S51" s="43">
        <f t="shared" si="8"/>
        <v>283.33333333333331</v>
      </c>
      <c r="T51" s="44">
        <f t="shared" si="9"/>
        <v>39</v>
      </c>
    </row>
    <row r="52" spans="1:20" ht="30.75" thickBot="1" x14ac:dyDescent="0.3">
      <c r="A52" s="52" t="s">
        <v>35</v>
      </c>
      <c r="B52" s="41" t="s">
        <v>36</v>
      </c>
      <c r="C52" s="41" t="s">
        <v>37</v>
      </c>
      <c r="D52" s="41" t="s">
        <v>227</v>
      </c>
      <c r="E52" s="41" t="s">
        <v>271</v>
      </c>
      <c r="F52" s="42" t="s">
        <v>277</v>
      </c>
      <c r="G52" s="46" t="s">
        <v>23</v>
      </c>
      <c r="H52" s="63" t="s">
        <v>591</v>
      </c>
      <c r="I52" s="71">
        <v>2002</v>
      </c>
      <c r="J52" s="66" t="s">
        <v>25</v>
      </c>
      <c r="K52" s="41">
        <v>3</v>
      </c>
      <c r="L52" s="47">
        <v>4</v>
      </c>
      <c r="M52" s="47">
        <v>500</v>
      </c>
      <c r="N52" s="43">
        <f t="shared" si="6"/>
        <v>6</v>
      </c>
      <c r="O52" s="47">
        <v>358</v>
      </c>
      <c r="P52" s="47">
        <v>346</v>
      </c>
      <c r="Q52" s="47">
        <v>352</v>
      </c>
      <c r="R52" s="48">
        <f t="shared" si="7"/>
        <v>720</v>
      </c>
      <c r="S52" s="43">
        <f t="shared" si="8"/>
        <v>352</v>
      </c>
      <c r="T52" s="44">
        <f t="shared" si="9"/>
        <v>49</v>
      </c>
    </row>
    <row r="53" spans="1:20" ht="30.75" thickBot="1" x14ac:dyDescent="0.3">
      <c r="A53" s="52" t="s">
        <v>35</v>
      </c>
      <c r="B53" s="41" t="s">
        <v>36</v>
      </c>
      <c r="C53" s="41" t="s">
        <v>37</v>
      </c>
      <c r="D53" s="41" t="s">
        <v>227</v>
      </c>
      <c r="E53" s="41" t="s">
        <v>279</v>
      </c>
      <c r="F53" s="42" t="s">
        <v>280</v>
      </c>
      <c r="G53" s="46" t="s">
        <v>23</v>
      </c>
      <c r="H53" s="63" t="s">
        <v>591</v>
      </c>
      <c r="I53" s="71">
        <v>2012</v>
      </c>
      <c r="J53" s="66" t="s">
        <v>25</v>
      </c>
      <c r="K53" s="41">
        <v>3</v>
      </c>
      <c r="L53" s="47">
        <v>3</v>
      </c>
      <c r="M53" s="47">
        <v>1000</v>
      </c>
      <c r="N53" s="43">
        <f t="shared" si="6"/>
        <v>6.3333333333333144</v>
      </c>
      <c r="O53" s="47">
        <v>478</v>
      </c>
      <c r="P53" s="47">
        <v>485</v>
      </c>
      <c r="Q53" s="47">
        <v>473</v>
      </c>
      <c r="R53" s="48">
        <f t="shared" si="7"/>
        <v>1440</v>
      </c>
      <c r="S53" s="43">
        <f t="shared" si="8"/>
        <v>478.66666666666669</v>
      </c>
      <c r="T53" s="44">
        <f t="shared" si="9"/>
        <v>33</v>
      </c>
    </row>
    <row r="54" spans="1:20" ht="30.75" thickBot="1" x14ac:dyDescent="0.3">
      <c r="A54" s="52" t="s">
        <v>35</v>
      </c>
      <c r="B54" s="41" t="s">
        <v>36</v>
      </c>
      <c r="C54" s="41" t="s">
        <v>37</v>
      </c>
      <c r="D54" s="41" t="s">
        <v>227</v>
      </c>
      <c r="E54" s="41" t="s">
        <v>279</v>
      </c>
      <c r="F54" s="42" t="s">
        <v>281</v>
      </c>
      <c r="G54" s="46" t="s">
        <v>23</v>
      </c>
      <c r="H54" s="63" t="s">
        <v>573</v>
      </c>
      <c r="I54" s="71">
        <v>1988</v>
      </c>
      <c r="J54" s="66" t="s">
        <v>25</v>
      </c>
      <c r="K54" s="41">
        <v>3</v>
      </c>
      <c r="L54" s="47">
        <v>4</v>
      </c>
      <c r="M54" s="47">
        <v>500</v>
      </c>
      <c r="N54" s="43">
        <f t="shared" si="6"/>
        <v>6.6666666666666572</v>
      </c>
      <c r="O54" s="47">
        <v>229</v>
      </c>
      <c r="P54" s="47">
        <v>241</v>
      </c>
      <c r="Q54" s="47">
        <v>233</v>
      </c>
      <c r="R54" s="48">
        <f t="shared" si="7"/>
        <v>720</v>
      </c>
      <c r="S54" s="43">
        <f t="shared" si="8"/>
        <v>234.33333333333334</v>
      </c>
      <c r="T54" s="44">
        <f t="shared" si="9"/>
        <v>33</v>
      </c>
    </row>
    <row r="55" spans="1:20" ht="29.25" thickBot="1" x14ac:dyDescent="0.3">
      <c r="A55" s="52" t="s">
        <v>35</v>
      </c>
      <c r="B55" s="41" t="s">
        <v>36</v>
      </c>
      <c r="C55" s="41" t="s">
        <v>37</v>
      </c>
      <c r="D55" s="41" t="s">
        <v>227</v>
      </c>
      <c r="E55" s="41" t="s">
        <v>279</v>
      </c>
      <c r="F55" s="42" t="s">
        <v>586</v>
      </c>
      <c r="G55" s="46" t="s">
        <v>23</v>
      </c>
      <c r="H55" s="76" t="s">
        <v>593</v>
      </c>
      <c r="I55" s="71">
        <v>2024</v>
      </c>
      <c r="J55" s="66" t="s">
        <v>28</v>
      </c>
      <c r="K55" s="41">
        <v>1</v>
      </c>
      <c r="L55" s="47"/>
      <c r="M55" s="47">
        <v>800</v>
      </c>
      <c r="N55" s="43">
        <f t="shared" si="6"/>
        <v>5.3333333333333144</v>
      </c>
      <c r="O55" s="47">
        <v>362</v>
      </c>
      <c r="P55" s="47">
        <v>350</v>
      </c>
      <c r="Q55" s="47">
        <v>358</v>
      </c>
      <c r="R55" s="48">
        <f t="shared" si="7"/>
        <v>1152</v>
      </c>
      <c r="S55" s="43">
        <f t="shared" si="8"/>
        <v>356.66666666666669</v>
      </c>
      <c r="T55" s="44">
        <f t="shared" si="9"/>
        <v>31</v>
      </c>
    </row>
    <row r="56" spans="1:20" ht="30.75" thickBot="1" x14ac:dyDescent="0.3">
      <c r="A56" s="52" t="s">
        <v>35</v>
      </c>
      <c r="B56" s="41" t="s">
        <v>36</v>
      </c>
      <c r="C56" s="41" t="s">
        <v>37</v>
      </c>
      <c r="D56" s="41" t="s">
        <v>227</v>
      </c>
      <c r="E56" s="41" t="s">
        <v>279</v>
      </c>
      <c r="F56" s="42" t="s">
        <v>425</v>
      </c>
      <c r="G56" s="46" t="s">
        <v>23</v>
      </c>
      <c r="H56" s="62" t="s">
        <v>573</v>
      </c>
      <c r="I56" s="70">
        <v>2016</v>
      </c>
      <c r="J56" s="66" t="s">
        <v>28</v>
      </c>
      <c r="K56" s="41">
        <v>3</v>
      </c>
      <c r="L56" s="41">
        <v>4</v>
      </c>
      <c r="M56" s="47">
        <v>1000</v>
      </c>
      <c r="N56" s="43">
        <f t="shared" si="6"/>
        <v>6</v>
      </c>
      <c r="O56" s="57">
        <v>450</v>
      </c>
      <c r="P56" s="57">
        <v>457</v>
      </c>
      <c r="Q56" s="57">
        <v>446</v>
      </c>
      <c r="R56" s="48">
        <f t="shared" si="7"/>
        <v>1440</v>
      </c>
      <c r="S56" s="43">
        <f t="shared" si="8"/>
        <v>451</v>
      </c>
      <c r="T56" s="44">
        <f t="shared" si="9"/>
        <v>31</v>
      </c>
    </row>
    <row r="57" spans="1:20" ht="30.75" thickBot="1" x14ac:dyDescent="0.3">
      <c r="A57" s="52" t="s">
        <v>35</v>
      </c>
      <c r="B57" s="41" t="s">
        <v>36</v>
      </c>
      <c r="C57" s="41" t="s">
        <v>37</v>
      </c>
      <c r="D57" s="41" t="s">
        <v>227</v>
      </c>
      <c r="E57" s="41" t="s">
        <v>279</v>
      </c>
      <c r="F57" s="42" t="s">
        <v>285</v>
      </c>
      <c r="G57" s="46" t="s">
        <v>23</v>
      </c>
      <c r="H57" s="62"/>
      <c r="I57" s="70"/>
      <c r="J57" s="66" t="s">
        <v>28</v>
      </c>
      <c r="K57" s="41">
        <v>3</v>
      </c>
      <c r="L57" s="47">
        <v>1</v>
      </c>
      <c r="M57" s="47">
        <v>500</v>
      </c>
      <c r="N57" s="43">
        <f t="shared" si="6"/>
        <v>5.3333333333333428</v>
      </c>
      <c r="O57" s="57">
        <v>225</v>
      </c>
      <c r="P57" s="57">
        <v>230</v>
      </c>
      <c r="Q57" s="57">
        <v>219</v>
      </c>
      <c r="R57" s="48">
        <f t="shared" si="7"/>
        <v>720</v>
      </c>
      <c r="S57" s="43">
        <f t="shared" si="8"/>
        <v>224.66666666666666</v>
      </c>
      <c r="T57" s="44">
        <f t="shared" si="9"/>
        <v>31</v>
      </c>
    </row>
    <row r="58" spans="1:20" ht="29.25" thickBot="1" x14ac:dyDescent="0.3">
      <c r="A58" s="52" t="s">
        <v>35</v>
      </c>
      <c r="B58" s="41" t="s">
        <v>36</v>
      </c>
      <c r="C58" s="41" t="s">
        <v>37</v>
      </c>
      <c r="D58" s="41" t="s">
        <v>227</v>
      </c>
      <c r="E58" s="41" t="s">
        <v>279</v>
      </c>
      <c r="F58" s="42" t="s">
        <v>282</v>
      </c>
      <c r="G58" s="46" t="s">
        <v>23</v>
      </c>
      <c r="H58" s="63"/>
      <c r="I58" s="71"/>
      <c r="J58" s="66" t="s">
        <v>25</v>
      </c>
      <c r="K58" s="41">
        <v>3</v>
      </c>
      <c r="L58" s="47">
        <v>4</v>
      </c>
      <c r="M58" s="47">
        <v>500</v>
      </c>
      <c r="N58" s="43">
        <f t="shared" si="6"/>
        <v>5.6666666666666856</v>
      </c>
      <c r="O58" s="47">
        <v>416</v>
      </c>
      <c r="P58" s="47">
        <v>411</v>
      </c>
      <c r="Q58" s="47">
        <v>422</v>
      </c>
      <c r="R58" s="48">
        <f t="shared" si="7"/>
        <v>720</v>
      </c>
      <c r="S58" s="43">
        <f t="shared" si="8"/>
        <v>416.33333333333331</v>
      </c>
      <c r="T58" s="44">
        <f t="shared" si="9"/>
        <v>58</v>
      </c>
    </row>
    <row r="59" spans="1:20" ht="45.75" thickBot="1" x14ac:dyDescent="0.3">
      <c r="A59" s="52" t="s">
        <v>35</v>
      </c>
      <c r="B59" s="41" t="s">
        <v>36</v>
      </c>
      <c r="C59" s="41" t="s">
        <v>37</v>
      </c>
      <c r="D59" s="41" t="s">
        <v>227</v>
      </c>
      <c r="E59" s="41" t="s">
        <v>287</v>
      </c>
      <c r="F59" s="42" t="s">
        <v>288</v>
      </c>
      <c r="G59" s="46" t="s">
        <v>23</v>
      </c>
      <c r="H59" s="62" t="s">
        <v>573</v>
      </c>
      <c r="I59" s="70">
        <v>1990</v>
      </c>
      <c r="J59" s="66" t="s">
        <v>28</v>
      </c>
      <c r="K59" s="41">
        <v>3</v>
      </c>
      <c r="L59" s="47">
        <v>3</v>
      </c>
      <c r="M59" s="47">
        <v>500</v>
      </c>
      <c r="N59" s="43">
        <f t="shared" si="6"/>
        <v>6.3333333333333428</v>
      </c>
      <c r="O59" s="57">
        <v>221</v>
      </c>
      <c r="P59" s="57">
        <v>228</v>
      </c>
      <c r="Q59" s="57">
        <v>216</v>
      </c>
      <c r="R59" s="48">
        <f t="shared" si="7"/>
        <v>720</v>
      </c>
      <c r="S59" s="43">
        <f t="shared" si="8"/>
        <v>221.66666666666666</v>
      </c>
      <c r="T59" s="44">
        <f t="shared" si="9"/>
        <v>31</v>
      </c>
    </row>
    <row r="60" spans="1:20" ht="45.75" thickBot="1" x14ac:dyDescent="0.3">
      <c r="A60" s="52" t="s">
        <v>35</v>
      </c>
      <c r="B60" s="41" t="s">
        <v>36</v>
      </c>
      <c r="C60" s="41" t="s">
        <v>69</v>
      </c>
      <c r="D60" s="41" t="s">
        <v>227</v>
      </c>
      <c r="E60" s="41" t="s">
        <v>287</v>
      </c>
      <c r="F60" s="42" t="s">
        <v>289</v>
      </c>
      <c r="G60" s="46" t="s">
        <v>23</v>
      </c>
      <c r="H60" s="62" t="s">
        <v>573</v>
      </c>
      <c r="I60" s="70">
        <v>1990</v>
      </c>
      <c r="J60" s="66" t="s">
        <v>28</v>
      </c>
      <c r="K60" s="41">
        <v>3</v>
      </c>
      <c r="L60" s="47">
        <v>3</v>
      </c>
      <c r="M60" s="47">
        <v>500</v>
      </c>
      <c r="N60" s="43">
        <f t="shared" si="6"/>
        <v>5.3333333333333428</v>
      </c>
      <c r="O60" s="57">
        <v>240</v>
      </c>
      <c r="P60" s="57">
        <v>235</v>
      </c>
      <c r="Q60" s="57">
        <v>229</v>
      </c>
      <c r="R60" s="48">
        <f t="shared" si="7"/>
        <v>720</v>
      </c>
      <c r="S60" s="43">
        <f t="shared" si="8"/>
        <v>234.66666666666666</v>
      </c>
      <c r="T60" s="44">
        <f t="shared" si="9"/>
        <v>33</v>
      </c>
    </row>
    <row r="61" spans="1:20" ht="30.75" thickBot="1" x14ac:dyDescent="0.3">
      <c r="A61" s="52" t="s">
        <v>35</v>
      </c>
      <c r="B61" s="41" t="s">
        <v>36</v>
      </c>
      <c r="C61" s="41" t="s">
        <v>37</v>
      </c>
      <c r="D61" s="41" t="s">
        <v>227</v>
      </c>
      <c r="E61" s="41" t="s">
        <v>287</v>
      </c>
      <c r="F61" s="42" t="s">
        <v>212</v>
      </c>
      <c r="G61" s="46" t="s">
        <v>23</v>
      </c>
      <c r="H61" s="63"/>
      <c r="I61" s="71"/>
      <c r="J61" s="66" t="s">
        <v>25</v>
      </c>
      <c r="K61" s="41">
        <v>3</v>
      </c>
      <c r="L61" s="41">
        <v>4</v>
      </c>
      <c r="M61" s="47">
        <v>800</v>
      </c>
      <c r="N61" s="43">
        <f t="shared" si="6"/>
        <v>6.6666666666666856</v>
      </c>
      <c r="O61" s="47">
        <v>406</v>
      </c>
      <c r="P61" s="47">
        <v>412</v>
      </c>
      <c r="Q61" s="47">
        <v>398</v>
      </c>
      <c r="R61" s="48">
        <f t="shared" si="7"/>
        <v>1152</v>
      </c>
      <c r="S61" s="43">
        <f t="shared" si="8"/>
        <v>405.33333333333331</v>
      </c>
      <c r="T61" s="44">
        <f t="shared" si="9"/>
        <v>35</v>
      </c>
    </row>
  </sheetData>
  <conditionalFormatting sqref="T2:T6">
    <cfRule type="cellIs" dxfId="35" priority="160" operator="greaterThan">
      <formula>80</formula>
    </cfRule>
  </conditionalFormatting>
  <conditionalFormatting sqref="T7">
    <cfRule type="cellIs" dxfId="34" priority="155" operator="greaterThan">
      <formula>80</formula>
    </cfRule>
  </conditionalFormatting>
  <conditionalFormatting sqref="T8:T12">
    <cfRule type="cellIs" dxfId="33" priority="150" operator="greaterThan">
      <formula>80</formula>
    </cfRule>
  </conditionalFormatting>
  <conditionalFormatting sqref="T13">
    <cfRule type="cellIs" dxfId="32" priority="145" operator="greaterThan">
      <formula>80</formula>
    </cfRule>
  </conditionalFormatting>
  <conditionalFormatting sqref="T14">
    <cfRule type="cellIs" dxfId="31" priority="140" operator="greaterThan">
      <formula>80</formula>
    </cfRule>
  </conditionalFormatting>
  <conditionalFormatting sqref="T15">
    <cfRule type="cellIs" dxfId="30" priority="135" operator="greaterThan">
      <formula>80</formula>
    </cfRule>
  </conditionalFormatting>
  <conditionalFormatting sqref="T16">
    <cfRule type="cellIs" dxfId="29" priority="130" operator="greaterThan">
      <formula>80</formula>
    </cfRule>
  </conditionalFormatting>
  <conditionalFormatting sqref="T17">
    <cfRule type="cellIs" dxfId="28" priority="125" operator="greaterThan">
      <formula>80</formula>
    </cfRule>
  </conditionalFormatting>
  <conditionalFormatting sqref="T18">
    <cfRule type="cellIs" dxfId="27" priority="120" operator="greaterThan">
      <formula>80</formula>
    </cfRule>
  </conditionalFormatting>
  <conditionalFormatting sqref="T19">
    <cfRule type="cellIs" dxfId="26" priority="115" operator="greaterThan">
      <formula>80</formula>
    </cfRule>
  </conditionalFormatting>
  <conditionalFormatting sqref="T20">
    <cfRule type="cellIs" dxfId="25" priority="110" operator="greaterThan">
      <formula>80</formula>
    </cfRule>
  </conditionalFormatting>
  <conditionalFormatting sqref="T21">
    <cfRule type="cellIs" dxfId="24" priority="105" operator="greaterThan">
      <formula>80</formula>
    </cfRule>
  </conditionalFormatting>
  <conditionalFormatting sqref="T22">
    <cfRule type="cellIs" dxfId="23" priority="100" operator="greaterThan">
      <formula>80</formula>
    </cfRule>
  </conditionalFormatting>
  <conditionalFormatting sqref="T23:T26">
    <cfRule type="cellIs" dxfId="22" priority="95" operator="greaterThan">
      <formula>80</formula>
    </cfRule>
  </conditionalFormatting>
  <conditionalFormatting sqref="T27">
    <cfRule type="cellIs" dxfId="21" priority="90" operator="greaterThan">
      <formula>80</formula>
    </cfRule>
  </conditionalFormatting>
  <conditionalFormatting sqref="T28">
    <cfRule type="cellIs" dxfId="20" priority="85" operator="greaterThan">
      <formula>80</formula>
    </cfRule>
  </conditionalFormatting>
  <conditionalFormatting sqref="T29:T31">
    <cfRule type="cellIs" dxfId="19" priority="80" operator="greaterThan">
      <formula>80</formula>
    </cfRule>
  </conditionalFormatting>
  <conditionalFormatting sqref="T32">
    <cfRule type="cellIs" dxfId="18" priority="75" operator="greaterThan">
      <formula>80</formula>
    </cfRule>
  </conditionalFormatting>
  <conditionalFormatting sqref="T33">
    <cfRule type="cellIs" dxfId="17" priority="70" operator="greaterThan">
      <formula>80</formula>
    </cfRule>
  </conditionalFormatting>
  <conditionalFormatting sqref="T34">
    <cfRule type="cellIs" dxfId="16" priority="65" operator="greaterThan">
      <formula>80</formula>
    </cfRule>
  </conditionalFormatting>
  <conditionalFormatting sqref="T35:T36">
    <cfRule type="cellIs" dxfId="15" priority="60" operator="greaterThan">
      <formula>80</formula>
    </cfRule>
  </conditionalFormatting>
  <conditionalFormatting sqref="T37">
    <cfRule type="cellIs" dxfId="14" priority="55" operator="greaterThan">
      <formula>80</formula>
    </cfRule>
  </conditionalFormatting>
  <conditionalFormatting sqref="T38">
    <cfRule type="cellIs" dxfId="13" priority="50" operator="greaterThan">
      <formula>80</formula>
    </cfRule>
  </conditionalFormatting>
  <conditionalFormatting sqref="T39:T41">
    <cfRule type="cellIs" dxfId="12" priority="45" operator="greaterThan">
      <formula>80</formula>
    </cfRule>
  </conditionalFormatting>
  <conditionalFormatting sqref="T42">
    <cfRule type="cellIs" dxfId="11" priority="40" operator="greaterThan">
      <formula>80</formula>
    </cfRule>
  </conditionalFormatting>
  <conditionalFormatting sqref="T43">
    <cfRule type="cellIs" dxfId="10" priority="35" operator="greaterThan">
      <formula>80</formula>
    </cfRule>
  </conditionalFormatting>
  <conditionalFormatting sqref="T44:T45">
    <cfRule type="cellIs" dxfId="9" priority="30" operator="greaterThan">
      <formula>80</formula>
    </cfRule>
  </conditionalFormatting>
  <conditionalFormatting sqref="T46">
    <cfRule type="cellIs" dxfId="8" priority="25" operator="greaterThan">
      <formula>80</formula>
    </cfRule>
  </conditionalFormatting>
  <conditionalFormatting sqref="T47">
    <cfRule type="cellIs" dxfId="7" priority="20" operator="greaterThan">
      <formula>80</formula>
    </cfRule>
  </conditionalFormatting>
  <conditionalFormatting sqref="T48:T52">
    <cfRule type="cellIs" dxfId="6" priority="15" operator="greaterThan">
      <formula>80</formula>
    </cfRule>
  </conditionalFormatting>
  <conditionalFormatting sqref="T53:T60">
    <cfRule type="cellIs" dxfId="5" priority="10" operator="greaterThan">
      <formula>80</formula>
    </cfRule>
  </conditionalFormatting>
  <conditionalFormatting sqref="T61">
    <cfRule type="cellIs" dxfId="4" priority="5" operator="greaterThan">
      <formula>80</formula>
    </cfRule>
  </conditionalFormatting>
  <conditionalFormatting sqref="F2:F61">
    <cfRule type="expression" dxfId="3" priority="827">
      <formula>IF(#REF!&gt;80,"true","false")</formula>
    </cfRule>
    <cfRule type="expression" dxfId="2" priority="828">
      <formula>IF(#REF!&gt;89,"true","false")</formula>
    </cfRule>
    <cfRule type="expression" dxfId="1" priority="829">
      <formula>IF(#REF!=0,"true","false")</formula>
    </cfRule>
    <cfRule type="expression" dxfId="0" priority="830">
      <formula>IF(#REF!&lt;50,"true","false")</formula>
    </cfRule>
  </conditionalFormatting>
  <pageMargins left="0.7" right="0.7" top="0.75" bottom="0.75" header="0.3" footer="0.3"/>
  <pageSetup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مدينة كفر الشيخ</vt:lpstr>
      <vt:lpstr>بيان سعة المحولات </vt:lpstr>
      <vt:lpstr>ورقة1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Engineer .hala</dc:creator>
  <cp:lastModifiedBy>Pc</cp:lastModifiedBy>
  <cp:lastPrinted>2025-01-08T13:49:36Z</cp:lastPrinted>
  <dcterms:created xsi:type="dcterms:W3CDTF">2019-05-25T12:57:58Z</dcterms:created>
  <dcterms:modified xsi:type="dcterms:W3CDTF">2026-07-02T15:04:17Z</dcterms:modified>
</cp:coreProperties>
</file>