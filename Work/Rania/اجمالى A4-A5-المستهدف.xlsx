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755647B2-13FB-4803-9D09-47E3CB7C4278}" xr6:coauthVersionLast="47" xr6:coauthVersionMax="47" xr10:uidLastSave="{00000000-0000-0000-0000-000000000000}"/>
  <bookViews>
    <workbookView xWindow="-120" yWindow="330" windowWidth="24240" windowHeight="13290" xr2:uid="{00000000-000D-0000-FFFF-FFFF00000000}"/>
  </bookViews>
  <sheets>
    <sheet name="المستهدف" sheetId="10" r:id="rId1"/>
    <sheet name="القطاعات" sheetId="5" r:id="rId2"/>
    <sheet name="شمال" sheetId="6" r:id="rId3"/>
    <sheet name="جنوب" sheetId="7" r:id="rId4"/>
    <sheet name="دمياط." sheetId="8" r:id="rId5"/>
    <sheet name="كفر الشيخ.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6" i="5" l="1"/>
  <c r="F52" i="5"/>
  <c r="G52" i="5" s="1"/>
  <c r="F48" i="5"/>
  <c r="F44" i="5"/>
  <c r="F39" i="5"/>
  <c r="F35" i="5"/>
  <c r="F31" i="5"/>
  <c r="F26" i="5"/>
  <c r="F22" i="5"/>
  <c r="F18" i="5"/>
  <c r="F9" i="5"/>
  <c r="F5" i="5"/>
  <c r="F5" i="9"/>
  <c r="G5" i="9" s="1"/>
  <c r="F13" i="9"/>
  <c r="G13" i="9" s="1"/>
  <c r="F7" i="8"/>
  <c r="G7" i="8" s="1"/>
  <c r="F7" i="7"/>
  <c r="G7" i="7" s="1"/>
  <c r="F15" i="7"/>
  <c r="G15" i="7" s="1"/>
  <c r="F15" i="6"/>
  <c r="G15" i="6" s="1"/>
  <c r="F7" i="6"/>
  <c r="G7" i="6" s="1"/>
  <c r="E60" i="10"/>
  <c r="E42" i="10"/>
  <c r="E61" i="10" s="1"/>
  <c r="E28" i="10"/>
  <c r="E16" i="10"/>
  <c r="D60" i="10"/>
  <c r="D42" i="10"/>
  <c r="D28" i="10"/>
  <c r="D16" i="10"/>
  <c r="D61" i="10" s="1"/>
  <c r="C60" i="10"/>
  <c r="C42" i="10"/>
  <c r="C28" i="10"/>
  <c r="C16" i="10"/>
  <c r="C61" i="10" s="1"/>
  <c r="B60" i="10"/>
  <c r="B42" i="10"/>
  <c r="B28" i="10"/>
  <c r="B16" i="10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7" i="5"/>
  <c r="E26" i="5"/>
  <c r="E25" i="5"/>
  <c r="E24" i="5"/>
  <c r="E23" i="5"/>
  <c r="E22" i="5"/>
  <c r="E21" i="5"/>
  <c r="E20" i="5"/>
  <c r="E19" i="5"/>
  <c r="E18" i="5"/>
  <c r="E17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2" i="5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3" i="9"/>
  <c r="E4" i="8"/>
  <c r="E5" i="8"/>
  <c r="E6" i="8"/>
  <c r="E7" i="8"/>
  <c r="E8" i="8"/>
  <c r="E9" i="8"/>
  <c r="E10" i="8"/>
  <c r="E11" i="8"/>
  <c r="E12" i="8"/>
  <c r="E13" i="8"/>
  <c r="E3" i="8"/>
  <c r="E4" i="7"/>
  <c r="E5" i="7"/>
  <c r="E6" i="7"/>
  <c r="E7" i="7"/>
  <c r="E8" i="7"/>
  <c r="E9" i="7"/>
  <c r="E10" i="7"/>
  <c r="E11" i="7"/>
  <c r="E12" i="7"/>
  <c r="E13" i="7"/>
  <c r="E14" i="7"/>
  <c r="E15" i="7"/>
  <c r="E3" i="7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3" i="6"/>
  <c r="D4" i="9"/>
  <c r="F4" i="9" s="1"/>
  <c r="G4" i="9" s="1"/>
  <c r="D5" i="9"/>
  <c r="D6" i="9"/>
  <c r="F6" i="9" s="1"/>
  <c r="G6" i="9" s="1"/>
  <c r="D7" i="9"/>
  <c r="F7" i="9" s="1"/>
  <c r="G7" i="9" s="1"/>
  <c r="D8" i="9"/>
  <c r="F8" i="9" s="1"/>
  <c r="G8" i="9" s="1"/>
  <c r="D9" i="9"/>
  <c r="F9" i="9" s="1"/>
  <c r="G9" i="9" s="1"/>
  <c r="D10" i="9"/>
  <c r="F10" i="9" s="1"/>
  <c r="G10" i="9" s="1"/>
  <c r="D11" i="9"/>
  <c r="F11" i="9" s="1"/>
  <c r="G11" i="9" s="1"/>
  <c r="D12" i="9"/>
  <c r="F12" i="9" s="1"/>
  <c r="G12" i="9" s="1"/>
  <c r="D13" i="9"/>
  <c r="D14" i="9"/>
  <c r="F14" i="9" s="1"/>
  <c r="G14" i="9" s="1"/>
  <c r="D15" i="9"/>
  <c r="F15" i="9" s="1"/>
  <c r="G15" i="9" s="1"/>
  <c r="D16" i="9"/>
  <c r="F16" i="9" s="1"/>
  <c r="G16" i="9" s="1"/>
  <c r="D17" i="9"/>
  <c r="F17" i="9" s="1"/>
  <c r="G17" i="9" s="1"/>
  <c r="D18" i="9"/>
  <c r="F18" i="9" s="1"/>
  <c r="G18" i="9" s="1"/>
  <c r="D19" i="9"/>
  <c r="F19" i="9" s="1"/>
  <c r="G19" i="9" s="1"/>
  <c r="D3" i="9"/>
  <c r="F3" i="9" s="1"/>
  <c r="G3" i="9" s="1"/>
  <c r="D4" i="7"/>
  <c r="F4" i="7" s="1"/>
  <c r="G4" i="7" s="1"/>
  <c r="D5" i="7"/>
  <c r="F5" i="7" s="1"/>
  <c r="G5" i="7" s="1"/>
  <c r="D6" i="7"/>
  <c r="F6" i="7" s="1"/>
  <c r="G6" i="7" s="1"/>
  <c r="D7" i="7"/>
  <c r="D8" i="7"/>
  <c r="F8" i="7" s="1"/>
  <c r="G8" i="7" s="1"/>
  <c r="D9" i="7"/>
  <c r="F9" i="7" s="1"/>
  <c r="G9" i="7" s="1"/>
  <c r="D10" i="7"/>
  <c r="F10" i="7" s="1"/>
  <c r="G10" i="7" s="1"/>
  <c r="D11" i="7"/>
  <c r="F11" i="7" s="1"/>
  <c r="G11" i="7" s="1"/>
  <c r="D12" i="7"/>
  <c r="F12" i="7" s="1"/>
  <c r="G12" i="7" s="1"/>
  <c r="D13" i="7"/>
  <c r="F13" i="7" s="1"/>
  <c r="G13" i="7" s="1"/>
  <c r="D14" i="7"/>
  <c r="F14" i="7" s="1"/>
  <c r="G14" i="7" s="1"/>
  <c r="D15" i="7"/>
  <c r="D3" i="7"/>
  <c r="F3" i="7" s="1"/>
  <c r="G3" i="7" s="1"/>
  <c r="D4" i="6"/>
  <c r="F4" i="6" s="1"/>
  <c r="G4" i="6" s="1"/>
  <c r="D5" i="6"/>
  <c r="F5" i="6" s="1"/>
  <c r="G5" i="6" s="1"/>
  <c r="D6" i="6"/>
  <c r="F6" i="6" s="1"/>
  <c r="G6" i="6" s="1"/>
  <c r="D7" i="6"/>
  <c r="D8" i="6"/>
  <c r="F8" i="6" s="1"/>
  <c r="G8" i="6" s="1"/>
  <c r="D9" i="6"/>
  <c r="F9" i="6" s="1"/>
  <c r="G9" i="6" s="1"/>
  <c r="D10" i="6"/>
  <c r="F10" i="6" s="1"/>
  <c r="G10" i="6" s="1"/>
  <c r="D11" i="6"/>
  <c r="F11" i="6" s="1"/>
  <c r="G11" i="6" s="1"/>
  <c r="D12" i="6"/>
  <c r="F12" i="6" s="1"/>
  <c r="G12" i="6" s="1"/>
  <c r="D13" i="6"/>
  <c r="F13" i="6" s="1"/>
  <c r="G13" i="6" s="1"/>
  <c r="D14" i="6"/>
  <c r="F14" i="6" s="1"/>
  <c r="G14" i="6" s="1"/>
  <c r="D15" i="6"/>
  <c r="D16" i="6"/>
  <c r="F16" i="6" s="1"/>
  <c r="G16" i="6" s="1"/>
  <c r="D3" i="6"/>
  <c r="F3" i="6" s="1"/>
  <c r="D4" i="8"/>
  <c r="F4" i="8" s="1"/>
  <c r="G4" i="8" s="1"/>
  <c r="D5" i="8"/>
  <c r="F5" i="8" s="1"/>
  <c r="G5" i="8" s="1"/>
  <c r="D6" i="8"/>
  <c r="F6" i="8" s="1"/>
  <c r="G6" i="8" s="1"/>
  <c r="D7" i="8"/>
  <c r="D8" i="8"/>
  <c r="F8" i="8" s="1"/>
  <c r="G8" i="8" s="1"/>
  <c r="D9" i="8"/>
  <c r="F9" i="8" s="1"/>
  <c r="G9" i="8" s="1"/>
  <c r="D10" i="8"/>
  <c r="F10" i="8" s="1"/>
  <c r="G10" i="8" s="1"/>
  <c r="D11" i="8"/>
  <c r="F11" i="8" s="1"/>
  <c r="G11" i="8" s="1"/>
  <c r="D12" i="8"/>
  <c r="F12" i="8" s="1"/>
  <c r="G12" i="8" s="1"/>
  <c r="D13" i="8"/>
  <c r="F13" i="8" s="1"/>
  <c r="G13" i="8" s="1"/>
  <c r="D3" i="8"/>
  <c r="F3" i="8" s="1"/>
  <c r="G3" i="8" s="1"/>
  <c r="C20" i="9"/>
  <c r="B20" i="9"/>
  <c r="C14" i="8"/>
  <c r="E14" i="8" s="1"/>
  <c r="B14" i="8"/>
  <c r="C16" i="7"/>
  <c r="B16" i="7"/>
  <c r="C17" i="6"/>
  <c r="E17" i="6" s="1"/>
  <c r="B17" i="6"/>
  <c r="C16" i="5"/>
  <c r="C28" i="5"/>
  <c r="C42" i="5"/>
  <c r="C60" i="5"/>
  <c r="E60" i="5" s="1"/>
  <c r="D59" i="5"/>
  <c r="D58" i="5"/>
  <c r="D57" i="5"/>
  <c r="F57" i="5" s="1"/>
  <c r="D56" i="5"/>
  <c r="D55" i="5"/>
  <c r="D54" i="5"/>
  <c r="F54" i="5" s="1"/>
  <c r="D53" i="5"/>
  <c r="F53" i="5" s="1"/>
  <c r="D52" i="5"/>
  <c r="D51" i="5"/>
  <c r="D50" i="5"/>
  <c r="D49" i="5"/>
  <c r="F49" i="5" s="1"/>
  <c r="D48" i="5"/>
  <c r="D47" i="5"/>
  <c r="D46" i="5"/>
  <c r="D45" i="5"/>
  <c r="F45" i="5" s="1"/>
  <c r="D44" i="5"/>
  <c r="D43" i="5"/>
  <c r="D41" i="5"/>
  <c r="F41" i="5" s="1"/>
  <c r="D40" i="5"/>
  <c r="F40" i="5" s="1"/>
  <c r="D39" i="5"/>
  <c r="D38" i="5"/>
  <c r="F38" i="5" s="1"/>
  <c r="D37" i="5"/>
  <c r="D36" i="5"/>
  <c r="F36" i="5" s="1"/>
  <c r="D35" i="5"/>
  <c r="D34" i="5"/>
  <c r="F34" i="5" s="1"/>
  <c r="D33" i="5"/>
  <c r="D32" i="5"/>
  <c r="F32" i="5" s="1"/>
  <c r="D31" i="5"/>
  <c r="D30" i="5"/>
  <c r="F30" i="5" s="1"/>
  <c r="D29" i="5"/>
  <c r="F29" i="5" s="1"/>
  <c r="D18" i="5"/>
  <c r="D19" i="5"/>
  <c r="F19" i="5" s="1"/>
  <c r="D20" i="5"/>
  <c r="F20" i="5" s="1"/>
  <c r="D21" i="5"/>
  <c r="F21" i="5" s="1"/>
  <c r="D22" i="5"/>
  <c r="D23" i="5"/>
  <c r="F23" i="5" s="1"/>
  <c r="D24" i="5"/>
  <c r="D25" i="5"/>
  <c r="F25" i="5" s="1"/>
  <c r="D26" i="5"/>
  <c r="D27" i="5"/>
  <c r="F27" i="5" s="1"/>
  <c r="D17" i="5"/>
  <c r="D13" i="5"/>
  <c r="F13" i="5" s="1"/>
  <c r="D14" i="5"/>
  <c r="F14" i="5" s="1"/>
  <c r="D15" i="5"/>
  <c r="F15" i="5" s="1"/>
  <c r="G15" i="5" s="1"/>
  <c r="D2" i="5"/>
  <c r="D3" i="5"/>
  <c r="F3" i="5" s="1"/>
  <c r="G3" i="5" s="1"/>
  <c r="D4" i="5"/>
  <c r="F4" i="5" s="1"/>
  <c r="D5" i="5"/>
  <c r="D6" i="5"/>
  <c r="D7" i="5"/>
  <c r="F7" i="5" s="1"/>
  <c r="G7" i="5" s="1"/>
  <c r="D8" i="5"/>
  <c r="D9" i="5"/>
  <c r="D10" i="5"/>
  <c r="D11" i="5"/>
  <c r="F11" i="5" s="1"/>
  <c r="G11" i="5" s="1"/>
  <c r="D12" i="5"/>
  <c r="B60" i="5"/>
  <c r="B42" i="5"/>
  <c r="B28" i="5"/>
  <c r="B16" i="5"/>
  <c r="F17" i="6" l="1"/>
  <c r="G3" i="6"/>
  <c r="E16" i="5"/>
  <c r="E16" i="7"/>
  <c r="E20" i="9"/>
  <c r="F2" i="5"/>
  <c r="G2" i="5" s="1"/>
  <c r="F6" i="5"/>
  <c r="G6" i="5" s="1"/>
  <c r="F10" i="5"/>
  <c r="G10" i="5" s="1"/>
  <c r="G13" i="5"/>
  <c r="G9" i="5"/>
  <c r="G23" i="5"/>
  <c r="G19" i="5"/>
  <c r="G31" i="5"/>
  <c r="G35" i="5"/>
  <c r="G39" i="5"/>
  <c r="D20" i="9"/>
  <c r="B61" i="10"/>
  <c r="F24" i="5"/>
  <c r="G24" i="5" s="1"/>
  <c r="F33" i="5"/>
  <c r="G33" i="5" s="1"/>
  <c r="G42" i="5" s="1"/>
  <c r="F37" i="5"/>
  <c r="G37" i="5" s="1"/>
  <c r="F46" i="5"/>
  <c r="G46" i="5" s="1"/>
  <c r="F50" i="5"/>
  <c r="G50" i="5" s="1"/>
  <c r="F58" i="5"/>
  <c r="G58" i="5" s="1"/>
  <c r="G29" i="5"/>
  <c r="G41" i="5"/>
  <c r="G54" i="5"/>
  <c r="G5" i="5"/>
  <c r="G27" i="5"/>
  <c r="G8" i="5"/>
  <c r="G14" i="5"/>
  <c r="G32" i="5"/>
  <c r="G36" i="5"/>
  <c r="G40" i="5"/>
  <c r="G45" i="5"/>
  <c r="G49" i="5"/>
  <c r="G53" i="5"/>
  <c r="G57" i="5"/>
  <c r="D17" i="6"/>
  <c r="F8" i="5"/>
  <c r="F12" i="5"/>
  <c r="G12" i="5" s="1"/>
  <c r="F17" i="5"/>
  <c r="G17" i="5" s="1"/>
  <c r="F43" i="5"/>
  <c r="G43" i="5" s="1"/>
  <c r="F47" i="5"/>
  <c r="G47" i="5" s="1"/>
  <c r="F51" i="5"/>
  <c r="G51" i="5" s="1"/>
  <c r="F55" i="5"/>
  <c r="G55" i="5" s="1"/>
  <c r="F59" i="5"/>
  <c r="G59" i="5" s="1"/>
  <c r="G44" i="5"/>
  <c r="G48" i="5"/>
  <c r="G56" i="5"/>
  <c r="G38" i="5"/>
  <c r="G34" i="5"/>
  <c r="G30" i="5"/>
  <c r="G20" i="5"/>
  <c r="G4" i="5"/>
  <c r="G17" i="6"/>
  <c r="B61" i="5"/>
  <c r="E42" i="5"/>
  <c r="E28" i="5"/>
  <c r="G25" i="5"/>
  <c r="G21" i="5"/>
  <c r="G18" i="5"/>
  <c r="G26" i="5"/>
  <c r="G22" i="5"/>
  <c r="D42" i="5"/>
  <c r="D60" i="5"/>
  <c r="D28" i="5"/>
  <c r="C61" i="5"/>
  <c r="E61" i="5" s="1"/>
  <c r="D16" i="5"/>
  <c r="D61" i="5" s="1"/>
  <c r="D16" i="7"/>
  <c r="G16" i="7"/>
  <c r="D14" i="8"/>
  <c r="G14" i="8"/>
  <c r="F14" i="8"/>
  <c r="F42" i="5"/>
  <c r="G16" i="5" l="1"/>
  <c r="G60" i="5"/>
  <c r="G28" i="5"/>
  <c r="F60" i="5"/>
  <c r="F16" i="5"/>
  <c r="G61" i="5"/>
  <c r="F28" i="5"/>
  <c r="F20" i="9"/>
  <c r="G20" i="9"/>
  <c r="F16" i="7"/>
  <c r="F61" i="5" l="1"/>
</calcChain>
</file>

<file path=xl/sharedStrings.xml><?xml version="1.0" encoding="utf-8"?>
<sst xmlns="http://schemas.openxmlformats.org/spreadsheetml/2006/main" count="223" uniqueCount="72">
  <si>
    <t>المستهدف</t>
  </si>
  <si>
    <t>المتبقى</t>
  </si>
  <si>
    <t>نسبة تنفيذ</t>
  </si>
  <si>
    <t>المستهدف - الأسبوعي</t>
  </si>
  <si>
    <t>المستهدف اليومي</t>
  </si>
  <si>
    <t xml:space="preserve">هندسة شمال دمياط                        </t>
  </si>
  <si>
    <t xml:space="preserve">هندسة جنوب دمياط                        </t>
  </si>
  <si>
    <t xml:space="preserve">هندسة عزبة البرج                        </t>
  </si>
  <si>
    <t xml:space="preserve">هندسة كفر سعد                           </t>
  </si>
  <si>
    <t xml:space="preserve">هندسة كفر البطيخ                        </t>
  </si>
  <si>
    <t xml:space="preserve">هندسة راس البر                          </t>
  </si>
  <si>
    <t xml:space="preserve">هندسة دمياط الجديدة                     </t>
  </si>
  <si>
    <t xml:space="preserve">هندسة الزرقا                            </t>
  </si>
  <si>
    <t xml:space="preserve">هندسة فارسكور                           </t>
  </si>
  <si>
    <t xml:space="preserve">هندسة الروضة                            </t>
  </si>
  <si>
    <t xml:space="preserve">هندسة الشعراء                           </t>
  </si>
  <si>
    <t xml:space="preserve"> المنفذ</t>
  </si>
  <si>
    <t xml:space="preserve">هندسة مدينة شربين                       </t>
  </si>
  <si>
    <t xml:space="preserve">هندسة قري شربين                         </t>
  </si>
  <si>
    <t xml:space="preserve">هندسة دكرنس                             </t>
  </si>
  <si>
    <t xml:space="preserve">هندسة جمصة                              </t>
  </si>
  <si>
    <t xml:space="preserve">هندسة قري بلقاس                         </t>
  </si>
  <si>
    <t xml:space="preserve">هندسة مدينة بلقاس                       </t>
  </si>
  <si>
    <t xml:space="preserve">هندسة الستامونى                         </t>
  </si>
  <si>
    <t xml:space="preserve">هندسة بني عبيد                          </t>
  </si>
  <si>
    <t xml:space="preserve">هندسة منية النصر                        </t>
  </si>
  <si>
    <t xml:space="preserve">هندسة ميت سلسيل                         </t>
  </si>
  <si>
    <t xml:space="preserve">هندسة الجمالية                          </t>
  </si>
  <si>
    <t xml:space="preserve">هندسة قري المنزلة                       </t>
  </si>
  <si>
    <t xml:space="preserve">هندسة مدينة المنزلة                     </t>
  </si>
  <si>
    <t xml:space="preserve">هندسة المطرية                           </t>
  </si>
  <si>
    <t>بيان ماتم تركيبة من العدادات الذكية بالمحولات العامة والخاصة</t>
  </si>
  <si>
    <t xml:space="preserve">هندسة شرق المنصورة                      </t>
  </si>
  <si>
    <t xml:space="preserve">هندسة غرب المنصورة                      </t>
  </si>
  <si>
    <t xml:space="preserve">هندسة طلخا                              </t>
  </si>
  <si>
    <t xml:space="preserve">هندسة نبروه                             </t>
  </si>
  <si>
    <t xml:space="preserve">هندسة قري المنصورة 1                    </t>
  </si>
  <si>
    <t xml:space="preserve">هندسة قري المنصورة 2                    </t>
  </si>
  <si>
    <t xml:space="preserve">هندسة اجا                               </t>
  </si>
  <si>
    <t xml:space="preserve">هندسة مدينة السنبلاوين                  </t>
  </si>
  <si>
    <t xml:space="preserve">هندسة قري السنبلاوين                    </t>
  </si>
  <si>
    <t xml:space="preserve">هندسة تمي الامديد                       </t>
  </si>
  <si>
    <t xml:space="preserve">هندسة مدينة ميت غمر                     </t>
  </si>
  <si>
    <t xml:space="preserve">هندسة قري ميت غمر                       </t>
  </si>
  <si>
    <t xml:space="preserve">هندسة كوم النور                         </t>
  </si>
  <si>
    <t>الأجمالي</t>
  </si>
  <si>
    <t xml:space="preserve">هندسة مدينة كفر الشيخ                   </t>
  </si>
  <si>
    <t xml:space="preserve">هندسة غرب كفر الشيخ                     </t>
  </si>
  <si>
    <t xml:space="preserve">هندسة شرق كفر الشيخ                     </t>
  </si>
  <si>
    <t xml:space="preserve">هندسة قلين                              </t>
  </si>
  <si>
    <t xml:space="preserve">هندسة قرى سيدي سالم                     </t>
  </si>
  <si>
    <t xml:space="preserve">هندسة مدينة سيدي سالم                   </t>
  </si>
  <si>
    <t xml:space="preserve">هندسة الرياض                            </t>
  </si>
  <si>
    <t xml:space="preserve">هندسة مدينة دسوق                        </t>
  </si>
  <si>
    <t xml:space="preserve">هندسة قرى شمال دسوق                     </t>
  </si>
  <si>
    <t xml:space="preserve">هندسة قرى جنوب دسوق                     </t>
  </si>
  <si>
    <t xml:space="preserve">هندسة فوه                               </t>
  </si>
  <si>
    <t xml:space="preserve">هندسة مطوبس                             </t>
  </si>
  <si>
    <t xml:space="preserve">هندسة مدينة الحامول                     </t>
  </si>
  <si>
    <t xml:space="preserve">هندسة قرى الحامول                       </t>
  </si>
  <si>
    <t xml:space="preserve">هندسة بيلا                              </t>
  </si>
  <si>
    <t xml:space="preserve">هندسة بلطيم                             </t>
  </si>
  <si>
    <t xml:space="preserve">هندسة برج البرلس                        </t>
  </si>
  <si>
    <t>القطاعات</t>
  </si>
  <si>
    <t>شمال الدقهلية</t>
  </si>
  <si>
    <t>دمياط</t>
  </si>
  <si>
    <t>جنوب الدقهلية</t>
  </si>
  <si>
    <t>كفر الشيخ</t>
  </si>
  <si>
    <t>A4-A5</t>
  </si>
  <si>
    <t>A2</t>
  </si>
  <si>
    <t>A3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</si>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</sst>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u/>
      <sz val="18"/>
      <color rgb="FF000000"/>
      <name val="Calibri"/>
      <family val="2"/>
    </font>
    <font>
      <b/>
      <sz val="1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9" fontId="8" fillId="2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theme="4" tint="0.79998168889431442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theme="4" tint="0.79998168889431442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1D51DB-CD87-4E30-BD2D-EF588B55E67B}" name="Table13" displayName="Table13" ref="A1:B60" totalsRowCount="1" headerRowDxfId="9" dataDxfId="7" totalsRowDxfId="5" headerRowBorderDxfId="8" tableBorderDxfId="6" totalsRowBorderDxfId="4">
  <autoFilter ref="A1:B59" xr:uid="{221D51DB-CD87-4E30-BD2D-EF588B55E67B}"/>
  <tableColumns count="2">
    <tableColumn id="1" xr3:uid="{7CDA3848-0114-419B-AA17-E16FD9827C2F}" name="القطاعات" totalsRowLabel="كفر الشيخ" dataDxfId="3" totalsRowDxfId="2"/>
    <tableColumn id="2" xr3:uid="{3D1166B7-4B94-4478-ADFD-C5CF664CCF7F}" name="A4-A5" totalsRowFunction="custom" dataDxfId="1" totalsRowDxfId="0">
      <totalsRowFormula>SUBTOTAL(109,B43:B59)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D4127-24A4-4C88-8554-06CB167E07BA}" name="Table1" displayName="Table1" ref="A1:G60" totalsRowCount="1" headerRowDxfId="29" dataDxfId="27" totalsRowDxfId="25" headerRowBorderDxfId="28" tableBorderDxfId="26" totalsRowBorderDxfId="24">
  <autoFilter ref="A1:G59" xr:uid="{888D4127-24A4-4C88-8554-06CB167E07BA}"/>
  <tableColumns count="7">
    <tableColumn id="1" xr3:uid="{A8C171E0-E180-4E76-8686-F51029A0AAC2}" name="القطاعات" totalsRowLabel="كفر الشيخ" dataDxfId="23" totalsRowDxfId="22"/>
    <tableColumn id="2" xr3:uid="{72168A13-FDA6-4133-A6DD-45F08E51FC1A}" name="المستهدف" totalsRowFunction="custom" dataDxfId="21" totalsRowDxfId="20">
      <totalsRowFormula>SUBTOTAL(109,B43:B59)</totalsRowFormula>
    </tableColumn>
    <tableColumn id="3" xr3:uid="{7C6015EA-CE4E-469A-89A9-A8634BE2BE92}" name=" المنفذ" totalsRowFunction="custom" dataDxfId="19" totalsRowDxfId="18">
      <totalsRowFormula>SUBTOTAL(109,C43:C59)</totalsRowFormula>
    </tableColumn>
    <tableColumn id="4" xr3:uid="{F37D85AB-D72F-48D7-8314-BB296B97AAA8}" name="المتبقى" totalsRowFunction="custom" dataDxfId="17" totalsRowDxfId="16">
      <calculatedColumnFormula>Table1[[#This Row],[المستهدف]]-Table1[[#This Row],[ المنفذ]]</calculatedColumnFormula>
      <totalsRowFormula>SUBTOTAL(109,D43:D59)</totalsRowFormula>
    </tableColumn>
    <tableColumn id="5" xr3:uid="{8653D596-B69D-42F5-975E-1BB63681EC3E}" name="نسبة تنفيذ" totalsRowFunction="custom" dataDxfId="15" totalsRowDxfId="14" dataCellStyle="Percent">
      <calculatedColumnFormula>Table1[[#This Row],[ المنفذ]]/Table1[[#This Row],[المستهدف]]</calculatedColumnFormula>
      <totalsRowFormula>(C60/B60)</totalsRowFormula>
    </tableColumn>
    <tableColumn id="6" xr3:uid="{BA9A909C-60C5-4116-96F9-7763535719C0}" name="المستهدف - الأسبوعي" totalsRowFunction="custom" dataDxfId="13" totalsRowDxfId="12">
      <calculatedColumnFormula>Table1[[#This Row],[المتبقى]]/8</calculatedColumnFormula>
      <totalsRowFormula>SUBTOTAL(109,F43:F59)</totalsRowFormula>
    </tableColumn>
    <tableColumn id="7" xr3:uid="{A3E55FE8-3CF0-4053-A2F1-0DCEEFD082AE}" name="المستهدف اليومي" totalsRowFunction="custom" dataDxfId="11" totalsRowDxfId="10">
      <calculatedColumnFormula>Table1[[#This Row],[المتبقى]]/6</calculatedColumnFormula>
      <totalsRowFormula>SUBTOTAL(109,G43:G59)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8E53-9382-40A5-8294-E074A6D4BB35}">
  <dimension ref="A1:E61"/>
  <sheetViews>
    <sheetView rightToLeft="1" tabSelected="1" topLeftCell="A42" workbookViewId="0">
      <selection activeCell="D64" sqref="D64"/>
    </sheetView>
  </sheetViews>
  <sheetFormatPr defaultColWidth="9.140625" defaultRowHeight="15" x14ac:dyDescent="0.25"/>
  <cols>
    <col min="1" max="1" width="29" style="3" bestFit="1" customWidth="1"/>
    <col min="2" max="5" width="11.7109375" style="1" bestFit="1" customWidth="1"/>
    <col min="6" max="16384" width="9.140625" style="1"/>
  </cols>
  <sheetData>
    <row r="1" spans="1:5" ht="15.95" customHeight="1" x14ac:dyDescent="0.25">
      <c r="A1" s="5" t="s">
        <v>63</v>
      </c>
      <c r="B1" s="5" t="s">
        <v>68</v>
      </c>
      <c r="C1" s="5" t="s">
        <v>70</v>
      </c>
      <c r="D1" s="5" t="s">
        <v>69</v>
      </c>
      <c r="E1" s="5" t="s">
        <v>71</v>
      </c>
    </row>
    <row r="2" spans="1:5" ht="15.95" customHeight="1" x14ac:dyDescent="0.25">
      <c r="A2" s="5" t="s">
        <v>17</v>
      </c>
      <c r="B2" s="7">
        <v>193</v>
      </c>
      <c r="C2" s="7"/>
      <c r="D2" s="7"/>
      <c r="E2" s="7"/>
    </row>
    <row r="3" spans="1:5" ht="15.95" customHeight="1" x14ac:dyDescent="0.25">
      <c r="A3" s="6" t="s">
        <v>18</v>
      </c>
      <c r="B3" s="7">
        <v>324</v>
      </c>
      <c r="C3" s="7"/>
      <c r="D3" s="7"/>
      <c r="E3" s="7"/>
    </row>
    <row r="4" spans="1:5" ht="15.95" customHeight="1" x14ac:dyDescent="0.25">
      <c r="A4" s="5" t="s">
        <v>19</v>
      </c>
      <c r="B4" s="7">
        <v>271</v>
      </c>
      <c r="C4" s="7"/>
      <c r="D4" s="7"/>
      <c r="E4" s="7"/>
    </row>
    <row r="5" spans="1:5" ht="15.95" customHeight="1" x14ac:dyDescent="0.25">
      <c r="A5" s="6" t="s">
        <v>20</v>
      </c>
      <c r="B5" s="7">
        <v>240</v>
      </c>
      <c r="C5" s="7"/>
      <c r="D5" s="7"/>
      <c r="E5" s="7"/>
    </row>
    <row r="6" spans="1:5" ht="15.95" customHeight="1" x14ac:dyDescent="0.25">
      <c r="A6" s="5" t="s">
        <v>21</v>
      </c>
      <c r="B6" s="7">
        <v>421</v>
      </c>
      <c r="C6" s="7"/>
      <c r="D6" s="7"/>
      <c r="E6" s="7"/>
    </row>
    <row r="7" spans="1:5" ht="15.95" customHeight="1" x14ac:dyDescent="0.25">
      <c r="A7" s="6" t="s">
        <v>22</v>
      </c>
      <c r="B7" s="7">
        <v>223</v>
      </c>
      <c r="C7" s="7"/>
      <c r="D7" s="7"/>
      <c r="E7" s="7"/>
    </row>
    <row r="8" spans="1:5" ht="15.95" customHeight="1" x14ac:dyDescent="0.25">
      <c r="A8" s="5" t="s">
        <v>23</v>
      </c>
      <c r="B8" s="7">
        <v>364</v>
      </c>
      <c r="C8" s="7"/>
      <c r="D8" s="7"/>
      <c r="E8" s="7"/>
    </row>
    <row r="9" spans="1:5" ht="15.95" customHeight="1" x14ac:dyDescent="0.25">
      <c r="A9" s="6" t="s">
        <v>24</v>
      </c>
      <c r="B9" s="7">
        <v>254</v>
      </c>
      <c r="C9" s="7"/>
      <c r="D9" s="7"/>
      <c r="E9" s="7"/>
    </row>
    <row r="10" spans="1:5" ht="15.95" customHeight="1" x14ac:dyDescent="0.25">
      <c r="A10" s="5" t="s">
        <v>25</v>
      </c>
      <c r="B10" s="7">
        <v>308</v>
      </c>
      <c r="C10" s="7"/>
      <c r="D10" s="7"/>
      <c r="E10" s="7"/>
    </row>
    <row r="11" spans="1:5" ht="15.95" customHeight="1" x14ac:dyDescent="0.25">
      <c r="A11" s="6" t="s">
        <v>26</v>
      </c>
      <c r="B11" s="7">
        <v>230</v>
      </c>
      <c r="C11" s="7"/>
      <c r="D11" s="7"/>
      <c r="E11" s="7"/>
    </row>
    <row r="12" spans="1:5" ht="15.95" customHeight="1" x14ac:dyDescent="0.25">
      <c r="A12" s="5" t="s">
        <v>27</v>
      </c>
      <c r="B12" s="7">
        <v>260</v>
      </c>
      <c r="C12" s="7"/>
      <c r="D12" s="7"/>
      <c r="E12" s="7"/>
    </row>
    <row r="13" spans="1:5" ht="15.95" customHeight="1" x14ac:dyDescent="0.25">
      <c r="A13" s="6" t="s">
        <v>28</v>
      </c>
      <c r="B13" s="7">
        <v>296</v>
      </c>
      <c r="C13" s="7"/>
      <c r="D13" s="7"/>
      <c r="E13" s="7"/>
    </row>
    <row r="14" spans="1:5" ht="15.95" customHeight="1" x14ac:dyDescent="0.25">
      <c r="A14" s="5" t="s">
        <v>29</v>
      </c>
      <c r="B14" s="7">
        <v>119</v>
      </c>
      <c r="C14" s="7"/>
      <c r="D14" s="7"/>
      <c r="E14" s="7"/>
    </row>
    <row r="15" spans="1:5" ht="15.95" customHeight="1" x14ac:dyDescent="0.25">
      <c r="A15" s="6" t="s">
        <v>30</v>
      </c>
      <c r="B15" s="7">
        <v>297</v>
      </c>
      <c r="C15" s="7"/>
      <c r="D15" s="7"/>
      <c r="E15" s="7"/>
    </row>
    <row r="16" spans="1:5" ht="15.95" customHeight="1" x14ac:dyDescent="0.25">
      <c r="A16" s="4" t="s">
        <v>64</v>
      </c>
      <c r="B16" s="12">
        <f>SUBTOTAL(109,B2:B15)</f>
        <v>3800</v>
      </c>
      <c r="C16" s="12">
        <f>SUBTOTAL(109,C2:C15)</f>
        <v>0</v>
      </c>
      <c r="D16" s="12">
        <f>SUBTOTAL(109,D2:D15)</f>
        <v>0</v>
      </c>
      <c r="E16" s="12">
        <f>SUBTOTAL(109,E2:E15)</f>
        <v>0</v>
      </c>
    </row>
    <row r="17" spans="1:5" ht="15.95" customHeight="1" x14ac:dyDescent="0.25">
      <c r="A17" s="6" t="s">
        <v>5</v>
      </c>
      <c r="B17" s="7">
        <v>310</v>
      </c>
      <c r="C17" s="7"/>
      <c r="D17" s="7"/>
      <c r="E17" s="7"/>
    </row>
    <row r="18" spans="1:5" ht="15.95" customHeight="1" x14ac:dyDescent="0.25">
      <c r="A18" s="5" t="s">
        <v>6</v>
      </c>
      <c r="B18" s="7">
        <v>535</v>
      </c>
      <c r="C18" s="7"/>
      <c r="D18" s="7"/>
      <c r="E18" s="7"/>
    </row>
    <row r="19" spans="1:5" ht="15.95" customHeight="1" x14ac:dyDescent="0.25">
      <c r="A19" s="6" t="s">
        <v>7</v>
      </c>
      <c r="B19" s="7">
        <v>250</v>
      </c>
      <c r="C19" s="7"/>
      <c r="D19" s="7"/>
      <c r="E19" s="7"/>
    </row>
    <row r="20" spans="1:5" ht="15.95" customHeight="1" x14ac:dyDescent="0.25">
      <c r="A20" s="5" t="s">
        <v>8</v>
      </c>
      <c r="B20" s="7">
        <v>95</v>
      </c>
      <c r="C20" s="7"/>
      <c r="D20" s="7"/>
      <c r="E20" s="7"/>
    </row>
    <row r="21" spans="1:5" ht="15.95" customHeight="1" x14ac:dyDescent="0.25">
      <c r="A21" s="6" t="s">
        <v>9</v>
      </c>
      <c r="B21" s="7">
        <v>829</v>
      </c>
      <c r="C21" s="7"/>
      <c r="D21" s="7"/>
      <c r="E21" s="7"/>
    </row>
    <row r="22" spans="1:5" ht="15.95" customHeight="1" x14ac:dyDescent="0.25">
      <c r="A22" s="5" t="s">
        <v>10</v>
      </c>
      <c r="B22" s="7">
        <v>232</v>
      </c>
      <c r="C22" s="7"/>
      <c r="D22" s="7"/>
      <c r="E22" s="7"/>
    </row>
    <row r="23" spans="1:5" ht="15.95" customHeight="1" x14ac:dyDescent="0.25">
      <c r="A23" s="6" t="s">
        <v>11</v>
      </c>
      <c r="B23" s="7">
        <v>162</v>
      </c>
      <c r="C23" s="7"/>
      <c r="D23" s="7"/>
      <c r="E23" s="7"/>
    </row>
    <row r="24" spans="1:5" ht="15.95" customHeight="1" x14ac:dyDescent="0.25">
      <c r="A24" s="5" t="s">
        <v>12</v>
      </c>
      <c r="B24" s="7">
        <v>434</v>
      </c>
      <c r="C24" s="7"/>
      <c r="D24" s="7"/>
      <c r="E24" s="7"/>
    </row>
    <row r="25" spans="1:5" ht="15.95" customHeight="1" x14ac:dyDescent="0.25">
      <c r="A25" s="6" t="s">
        <v>13</v>
      </c>
      <c r="B25" s="7">
        <v>369</v>
      </c>
      <c r="C25" s="7"/>
      <c r="D25" s="7"/>
      <c r="E25" s="7"/>
    </row>
    <row r="26" spans="1:5" ht="15.95" customHeight="1" x14ac:dyDescent="0.25">
      <c r="A26" s="5" t="s">
        <v>14</v>
      </c>
      <c r="B26" s="7">
        <v>281</v>
      </c>
      <c r="C26" s="7"/>
      <c r="D26" s="7"/>
      <c r="E26" s="7"/>
    </row>
    <row r="27" spans="1:5" ht="15.95" customHeight="1" x14ac:dyDescent="0.25">
      <c r="A27" s="6" t="s">
        <v>15</v>
      </c>
      <c r="B27" s="7">
        <v>299</v>
      </c>
      <c r="C27" s="7"/>
      <c r="D27" s="7"/>
      <c r="E27" s="7"/>
    </row>
    <row r="28" spans="1:5" ht="15.95" customHeight="1" x14ac:dyDescent="0.25">
      <c r="A28" s="4" t="s">
        <v>65</v>
      </c>
      <c r="B28" s="12">
        <f>SUBTOTAL(109,B17:B27)</f>
        <v>3796</v>
      </c>
      <c r="C28" s="12">
        <f>SUBTOTAL(109,C17:C27)</f>
        <v>0</v>
      </c>
      <c r="D28" s="12">
        <f>SUBTOTAL(109,D17:D27)</f>
        <v>0</v>
      </c>
      <c r="E28" s="12">
        <f>SUBTOTAL(109,E17:E27)</f>
        <v>0</v>
      </c>
    </row>
    <row r="29" spans="1:5" ht="15.95" customHeight="1" x14ac:dyDescent="0.25">
      <c r="A29" s="6" t="s">
        <v>32</v>
      </c>
      <c r="B29" s="7">
        <v>707</v>
      </c>
      <c r="C29" s="7"/>
      <c r="D29" s="7"/>
      <c r="E29" s="7"/>
    </row>
    <row r="30" spans="1:5" ht="15.95" customHeight="1" x14ac:dyDescent="0.25">
      <c r="A30" s="5" t="s">
        <v>33</v>
      </c>
      <c r="B30" s="7">
        <v>880</v>
      </c>
      <c r="C30" s="7"/>
      <c r="D30" s="7"/>
      <c r="E30" s="7"/>
    </row>
    <row r="31" spans="1:5" ht="15.95" customHeight="1" x14ac:dyDescent="0.25">
      <c r="A31" s="6" t="s">
        <v>34</v>
      </c>
      <c r="B31" s="7">
        <v>637</v>
      </c>
      <c r="C31" s="7"/>
      <c r="D31" s="7"/>
      <c r="E31" s="7"/>
    </row>
    <row r="32" spans="1:5" ht="15.95" customHeight="1" x14ac:dyDescent="0.25">
      <c r="A32" s="5" t="s">
        <v>35</v>
      </c>
      <c r="B32" s="7">
        <v>371</v>
      </c>
      <c r="C32" s="7"/>
      <c r="D32" s="7"/>
      <c r="E32" s="7"/>
    </row>
    <row r="33" spans="1:5" ht="15.95" customHeight="1" x14ac:dyDescent="0.25">
      <c r="A33" s="6" t="s">
        <v>36</v>
      </c>
      <c r="B33" s="7">
        <v>497</v>
      </c>
      <c r="C33" s="7"/>
      <c r="D33" s="7"/>
      <c r="E33" s="7"/>
    </row>
    <row r="34" spans="1:5" ht="15.95" customHeight="1" x14ac:dyDescent="0.25">
      <c r="A34" s="5" t="s">
        <v>37</v>
      </c>
      <c r="B34" s="7">
        <v>387</v>
      </c>
      <c r="C34" s="7"/>
      <c r="D34" s="7"/>
      <c r="E34" s="7"/>
    </row>
    <row r="35" spans="1:5" ht="15.95" customHeight="1" x14ac:dyDescent="0.25">
      <c r="A35" s="6" t="s">
        <v>38</v>
      </c>
      <c r="B35" s="7">
        <v>760</v>
      </c>
      <c r="C35" s="7"/>
      <c r="D35" s="7"/>
      <c r="E35" s="7"/>
    </row>
    <row r="36" spans="1:5" ht="15.95" customHeight="1" x14ac:dyDescent="0.25">
      <c r="A36" s="5" t="s">
        <v>39</v>
      </c>
      <c r="B36" s="7">
        <v>139</v>
      </c>
      <c r="C36" s="7"/>
      <c r="D36" s="7"/>
      <c r="E36" s="7"/>
    </row>
    <row r="37" spans="1:5" ht="15.95" customHeight="1" x14ac:dyDescent="0.25">
      <c r="A37" s="6" t="s">
        <v>40</v>
      </c>
      <c r="B37" s="7">
        <v>571</v>
      </c>
      <c r="C37" s="7"/>
      <c r="D37" s="7"/>
      <c r="E37" s="7"/>
    </row>
    <row r="38" spans="1:5" ht="15.95" customHeight="1" x14ac:dyDescent="0.25">
      <c r="A38" s="5" t="s">
        <v>41</v>
      </c>
      <c r="B38" s="7">
        <v>275</v>
      </c>
      <c r="C38" s="7"/>
      <c r="D38" s="7"/>
      <c r="E38" s="7"/>
    </row>
    <row r="39" spans="1:5" ht="15.95" customHeight="1" x14ac:dyDescent="0.25">
      <c r="A39" s="6" t="s">
        <v>42</v>
      </c>
      <c r="B39" s="7">
        <v>339</v>
      </c>
      <c r="C39" s="7"/>
      <c r="D39" s="7"/>
      <c r="E39" s="7"/>
    </row>
    <row r="40" spans="1:5" ht="15.95" customHeight="1" x14ac:dyDescent="0.25">
      <c r="A40" s="5" t="s">
        <v>43</v>
      </c>
      <c r="B40" s="7">
        <v>475</v>
      </c>
      <c r="C40" s="7"/>
      <c r="D40" s="7"/>
      <c r="E40" s="7"/>
    </row>
    <row r="41" spans="1:5" ht="15.95" customHeight="1" x14ac:dyDescent="0.25">
      <c r="A41" s="6" t="s">
        <v>44</v>
      </c>
      <c r="B41" s="7">
        <v>345</v>
      </c>
      <c r="C41" s="7"/>
      <c r="D41" s="7"/>
      <c r="E41" s="7"/>
    </row>
    <row r="42" spans="1:5" ht="15.95" customHeight="1" x14ac:dyDescent="0.25">
      <c r="A42" s="4" t="s">
        <v>66</v>
      </c>
      <c r="B42" s="12">
        <f>SUBTOTAL(109,B29:B41)</f>
        <v>6383</v>
      </c>
      <c r="C42" s="12">
        <f>SUBTOTAL(109,C29:C41)</f>
        <v>0</v>
      </c>
      <c r="D42" s="12">
        <f>SUBTOTAL(109,D29:D41)</f>
        <v>0</v>
      </c>
      <c r="E42" s="12">
        <f>SUBTOTAL(109,E29:E41)</f>
        <v>0</v>
      </c>
    </row>
    <row r="43" spans="1:5" ht="15.95" customHeight="1" x14ac:dyDescent="0.25">
      <c r="A43" s="5" t="s">
        <v>46</v>
      </c>
      <c r="B43" s="7">
        <v>446</v>
      </c>
      <c r="C43" s="7"/>
      <c r="D43" s="7"/>
      <c r="E43" s="7"/>
    </row>
    <row r="44" spans="1:5" ht="15.95" customHeight="1" x14ac:dyDescent="0.25">
      <c r="A44" s="6" t="s">
        <v>47</v>
      </c>
      <c r="B44" s="7">
        <v>357</v>
      </c>
      <c r="C44" s="7"/>
      <c r="D44" s="7"/>
      <c r="E44" s="7"/>
    </row>
    <row r="45" spans="1:5" ht="15.95" customHeight="1" x14ac:dyDescent="0.25">
      <c r="A45" s="5" t="s">
        <v>48</v>
      </c>
      <c r="B45" s="7">
        <v>332</v>
      </c>
      <c r="C45" s="7"/>
      <c r="D45" s="7"/>
      <c r="E45" s="7"/>
    </row>
    <row r="46" spans="1:5" ht="15.95" customHeight="1" x14ac:dyDescent="0.25">
      <c r="A46" s="6" t="s">
        <v>49</v>
      </c>
      <c r="B46" s="7">
        <v>313</v>
      </c>
      <c r="C46" s="7"/>
      <c r="D46" s="7"/>
      <c r="E46" s="7"/>
    </row>
    <row r="47" spans="1:5" ht="15.95" customHeight="1" x14ac:dyDescent="0.25">
      <c r="A47" s="5" t="s">
        <v>50</v>
      </c>
      <c r="B47" s="7">
        <v>389</v>
      </c>
      <c r="C47" s="7"/>
      <c r="D47" s="7"/>
      <c r="E47" s="7"/>
    </row>
    <row r="48" spans="1:5" ht="15.95" customHeight="1" x14ac:dyDescent="0.25">
      <c r="A48" s="6" t="s">
        <v>51</v>
      </c>
      <c r="B48" s="7">
        <v>353</v>
      </c>
      <c r="C48" s="7"/>
      <c r="D48" s="7"/>
      <c r="E48" s="7"/>
    </row>
    <row r="49" spans="1:5" ht="15.95" customHeight="1" x14ac:dyDescent="0.25">
      <c r="A49" s="5" t="s">
        <v>52</v>
      </c>
      <c r="B49" s="7">
        <v>435</v>
      </c>
      <c r="C49" s="7"/>
      <c r="D49" s="7"/>
      <c r="E49" s="7"/>
    </row>
    <row r="50" spans="1:5" ht="15.95" customHeight="1" x14ac:dyDescent="0.25">
      <c r="A50" s="6" t="s">
        <v>53</v>
      </c>
      <c r="B50" s="7">
        <v>201</v>
      </c>
      <c r="C50" s="7"/>
      <c r="D50" s="7"/>
      <c r="E50" s="7"/>
    </row>
    <row r="51" spans="1:5" ht="15.95" customHeight="1" x14ac:dyDescent="0.25">
      <c r="A51" s="5" t="s">
        <v>54</v>
      </c>
      <c r="B51" s="7">
        <v>385</v>
      </c>
      <c r="C51" s="7"/>
      <c r="D51" s="7"/>
      <c r="E51" s="7"/>
    </row>
    <row r="52" spans="1:5" ht="15.95" customHeight="1" x14ac:dyDescent="0.25">
      <c r="A52" s="6" t="s">
        <v>55</v>
      </c>
      <c r="B52" s="7">
        <v>225</v>
      </c>
      <c r="C52" s="7"/>
      <c r="D52" s="7"/>
      <c r="E52" s="7"/>
    </row>
    <row r="53" spans="1:5" ht="15.95" customHeight="1" x14ac:dyDescent="0.25">
      <c r="A53" s="5" t="s">
        <v>56</v>
      </c>
      <c r="B53" s="7">
        <v>332</v>
      </c>
      <c r="C53" s="7"/>
      <c r="D53" s="7"/>
      <c r="E53" s="7"/>
    </row>
    <row r="54" spans="1:5" ht="15.95" customHeight="1" x14ac:dyDescent="0.25">
      <c r="A54" s="6" t="s">
        <v>57</v>
      </c>
      <c r="B54" s="7">
        <v>586</v>
      </c>
      <c r="C54" s="7"/>
      <c r="D54" s="7"/>
      <c r="E54" s="7"/>
    </row>
    <row r="55" spans="1:5" ht="15.95" customHeight="1" x14ac:dyDescent="0.25">
      <c r="A55" s="5" t="s">
        <v>58</v>
      </c>
      <c r="B55" s="7">
        <v>243</v>
      </c>
      <c r="C55" s="7"/>
      <c r="D55" s="7"/>
      <c r="E55" s="7"/>
    </row>
    <row r="56" spans="1:5" ht="15.95" customHeight="1" x14ac:dyDescent="0.25">
      <c r="A56" s="6" t="s">
        <v>59</v>
      </c>
      <c r="B56" s="7">
        <v>333</v>
      </c>
      <c r="C56" s="7"/>
      <c r="D56" s="7"/>
      <c r="E56" s="7"/>
    </row>
    <row r="57" spans="1:5" ht="15.95" customHeight="1" x14ac:dyDescent="0.25">
      <c r="A57" s="5" t="s">
        <v>60</v>
      </c>
      <c r="B57" s="7">
        <v>502</v>
      </c>
      <c r="C57" s="7"/>
      <c r="D57" s="7"/>
      <c r="E57" s="7"/>
    </row>
    <row r="58" spans="1:5" ht="15.95" customHeight="1" x14ac:dyDescent="0.25">
      <c r="A58" s="6" t="s">
        <v>61</v>
      </c>
      <c r="B58" s="7">
        <v>365</v>
      </c>
      <c r="C58" s="7"/>
      <c r="D58" s="7"/>
      <c r="E58" s="7"/>
    </row>
    <row r="59" spans="1:5" ht="15.95" customHeight="1" x14ac:dyDescent="0.25">
      <c r="A59" s="5" t="s">
        <v>62</v>
      </c>
      <c r="B59" s="7">
        <v>155</v>
      </c>
      <c r="C59" s="7"/>
      <c r="D59" s="7"/>
      <c r="E59" s="7"/>
    </row>
    <row r="60" spans="1:5" ht="15.95" customHeight="1" x14ac:dyDescent="0.25">
      <c r="A60" s="4" t="s">
        <v>67</v>
      </c>
      <c r="B60" s="12">
        <f>SUBTOTAL(109,B43:B59)</f>
        <v>5952</v>
      </c>
      <c r="C60" s="12">
        <f>SUBTOTAL(109,C43:C59)</f>
        <v>0</v>
      </c>
      <c r="D60" s="12">
        <f>SUBTOTAL(109,D43:D59)</f>
        <v>0</v>
      </c>
      <c r="E60" s="12">
        <f>SUBTOTAL(109,E43:E59)</f>
        <v>0</v>
      </c>
    </row>
    <row r="61" spans="1:5" ht="15.95" customHeight="1" x14ac:dyDescent="0.25">
      <c r="A61" s="13" t="s">
        <v>45</v>
      </c>
      <c r="B61" s="8">
        <f>B16+B28+B42+Table13[[#Totals],[A4-A5]]</f>
        <v>19931</v>
      </c>
      <c r="C61" s="8">
        <f>C16+C28+C42+C60</f>
        <v>0</v>
      </c>
      <c r="D61" s="8">
        <f t="shared" ref="D61:E61" si="0">D16+D28+D42+D60</f>
        <v>0</v>
      </c>
      <c r="E61" s="8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72BF-3CCD-4C1D-A9FC-A4CDCE371698}">
  <dimension ref="A1:G61"/>
  <sheetViews>
    <sheetView rightToLeft="1" workbookViewId="0">
      <selection activeCell="C5" sqref="C5"/>
    </sheetView>
  </sheetViews>
  <sheetFormatPr defaultColWidth="9.140625" defaultRowHeight="15.95" customHeight="1" x14ac:dyDescent="0.25"/>
  <cols>
    <col min="1" max="1" width="29" style="3" bestFit="1" customWidth="1"/>
    <col min="2" max="2" width="11.7109375" style="1" bestFit="1" customWidth="1"/>
    <col min="3" max="3" width="9.42578125" style="1" bestFit="1" customWidth="1"/>
    <col min="4" max="4" width="9.85546875" style="1" bestFit="1" customWidth="1"/>
    <col min="5" max="5" width="12" style="1" bestFit="1" customWidth="1"/>
    <col min="6" max="6" width="19.5703125" style="1" bestFit="1" customWidth="1"/>
    <col min="7" max="7" width="16.42578125" style="1" bestFit="1" customWidth="1"/>
    <col min="8" max="16384" width="9.140625" style="1"/>
  </cols>
  <sheetData>
    <row r="1" spans="1:7" ht="15.95" customHeight="1" x14ac:dyDescent="0.25">
      <c r="A1" s="5" t="s">
        <v>63</v>
      </c>
      <c r="B1" s="5" t="s">
        <v>0</v>
      </c>
      <c r="C1" s="5" t="s">
        <v>16</v>
      </c>
      <c r="D1" s="5" t="s">
        <v>1</v>
      </c>
      <c r="E1" s="5" t="s">
        <v>2</v>
      </c>
      <c r="F1" s="5" t="s">
        <v>3</v>
      </c>
      <c r="G1" s="5" t="s">
        <v>4</v>
      </c>
    </row>
    <row r="2" spans="1:7" ht="15.95" customHeight="1" x14ac:dyDescent="0.25">
      <c r="A2" s="5" t="s">
        <v>17</v>
      </c>
      <c r="B2" s="7">
        <v>193</v>
      </c>
      <c r="C2" s="9">
        <v>143</v>
      </c>
      <c r="D2" s="2">
        <f>Table1[[#This Row],[المستهدف]]-Table1[[#This Row],[ المنفذ]]</f>
        <v>50</v>
      </c>
      <c r="E2" s="10">
        <f>(C2/B2)</f>
        <v>0.7409326424870466</v>
      </c>
      <c r="F2" s="2">
        <f>Table1[[#This Row],[المتبقى]]/4</f>
        <v>12.5</v>
      </c>
      <c r="G2" s="2">
        <f>Table1[[#This Row],[المستهدف - الأسبوعي]]/6</f>
        <v>2.0833333333333335</v>
      </c>
    </row>
    <row r="3" spans="1:7" ht="15.95" customHeight="1" x14ac:dyDescent="0.25">
      <c r="A3" s="6" t="s">
        <v>18</v>
      </c>
      <c r="B3" s="7">
        <v>324</v>
      </c>
      <c r="C3" s="9">
        <v>236</v>
      </c>
      <c r="D3" s="2">
        <f>Table1[[#This Row],[المستهدف]]-Table1[[#This Row],[ المنفذ]]</f>
        <v>88</v>
      </c>
      <c r="E3" s="10">
        <f t="shared" ref="E3:E61" si="0">(C3/B3)</f>
        <v>0.72839506172839508</v>
      </c>
      <c r="F3" s="2">
        <f>Table1[[#This Row],[المتبقى]]/4</f>
        <v>22</v>
      </c>
      <c r="G3" s="2">
        <f>Table1[[#This Row],[المستهدف - الأسبوعي]]/6</f>
        <v>3.6666666666666665</v>
      </c>
    </row>
    <row r="4" spans="1:7" ht="15.95" customHeight="1" x14ac:dyDescent="0.25">
      <c r="A4" s="5" t="s">
        <v>19</v>
      </c>
      <c r="B4" s="7">
        <v>271</v>
      </c>
      <c r="C4" s="9">
        <v>265</v>
      </c>
      <c r="D4" s="2">
        <f>Table1[[#This Row],[المستهدف]]-Table1[[#This Row],[ المنفذ]]</f>
        <v>6</v>
      </c>
      <c r="E4" s="10">
        <f t="shared" si="0"/>
        <v>0.97785977859778594</v>
      </c>
      <c r="F4" s="2">
        <f>Table1[[#This Row],[المتبقى]]/4</f>
        <v>1.5</v>
      </c>
      <c r="G4" s="2">
        <f>Table1[[#This Row],[المستهدف - الأسبوعي]]/6</f>
        <v>0.25</v>
      </c>
    </row>
    <row r="5" spans="1:7" ht="15.95" customHeight="1" x14ac:dyDescent="0.25">
      <c r="A5" s="6" t="s">
        <v>20</v>
      </c>
      <c r="B5" s="7">
        <v>240</v>
      </c>
      <c r="C5" s="9">
        <v>94</v>
      </c>
      <c r="D5" s="2">
        <f>Table1[[#This Row],[المستهدف]]-Table1[[#This Row],[ المنفذ]]</f>
        <v>146</v>
      </c>
      <c r="E5" s="10">
        <f t="shared" si="0"/>
        <v>0.39166666666666666</v>
      </c>
      <c r="F5" s="2">
        <f>Table1[[#This Row],[المتبقى]]/4</f>
        <v>36.5</v>
      </c>
      <c r="G5" s="2">
        <f>Table1[[#This Row],[المستهدف - الأسبوعي]]/6</f>
        <v>6.083333333333333</v>
      </c>
    </row>
    <row r="6" spans="1:7" ht="15.95" customHeight="1" x14ac:dyDescent="0.25">
      <c r="A6" s="5" t="s">
        <v>21</v>
      </c>
      <c r="B6" s="7">
        <v>421</v>
      </c>
      <c r="C6" s="9">
        <v>246</v>
      </c>
      <c r="D6" s="2">
        <f>Table1[[#This Row],[المستهدف]]-Table1[[#This Row],[ المنفذ]]</f>
        <v>175</v>
      </c>
      <c r="E6" s="10">
        <f t="shared" si="0"/>
        <v>0.58432304038004745</v>
      </c>
      <c r="F6" s="2">
        <f>Table1[[#This Row],[المتبقى]]/4</f>
        <v>43.75</v>
      </c>
      <c r="G6" s="2">
        <f>Table1[[#This Row],[المستهدف - الأسبوعي]]/6</f>
        <v>7.291666666666667</v>
      </c>
    </row>
    <row r="7" spans="1:7" ht="15.95" customHeight="1" x14ac:dyDescent="0.25">
      <c r="A7" s="6" t="s">
        <v>22</v>
      </c>
      <c r="B7" s="7">
        <v>223</v>
      </c>
      <c r="C7" s="9">
        <v>197</v>
      </c>
      <c r="D7" s="2">
        <f>Table1[[#This Row],[المستهدف]]-Table1[[#This Row],[ المنفذ]]</f>
        <v>26</v>
      </c>
      <c r="E7" s="10">
        <f t="shared" si="0"/>
        <v>0.88340807174887892</v>
      </c>
      <c r="F7" s="2">
        <f>Table1[[#This Row],[المتبقى]]/4</f>
        <v>6.5</v>
      </c>
      <c r="G7" s="2">
        <f>Table1[[#This Row],[المستهدف - الأسبوعي]]/6</f>
        <v>1.0833333333333333</v>
      </c>
    </row>
    <row r="8" spans="1:7" ht="15.95" customHeight="1" x14ac:dyDescent="0.25">
      <c r="A8" s="5" t="s">
        <v>23</v>
      </c>
      <c r="B8" s="7">
        <v>364</v>
      </c>
      <c r="C8" s="9">
        <v>115</v>
      </c>
      <c r="D8" s="2">
        <f>Table1[[#This Row],[المستهدف]]-Table1[[#This Row],[ المنفذ]]</f>
        <v>249</v>
      </c>
      <c r="E8" s="10">
        <f t="shared" si="0"/>
        <v>0.31593406593406592</v>
      </c>
      <c r="F8" s="2">
        <f>Table1[[#This Row],[المتبقى]]/4</f>
        <v>62.25</v>
      </c>
      <c r="G8" s="2">
        <f>Table1[[#This Row],[المستهدف - الأسبوعي]]/6</f>
        <v>10.375</v>
      </c>
    </row>
    <row r="9" spans="1:7" ht="15.95" customHeight="1" x14ac:dyDescent="0.25">
      <c r="A9" s="6" t="s">
        <v>24</v>
      </c>
      <c r="B9" s="7">
        <v>254</v>
      </c>
      <c r="C9" s="9">
        <v>214</v>
      </c>
      <c r="D9" s="2">
        <f>Table1[[#This Row],[المستهدف]]-Table1[[#This Row],[ المنفذ]]</f>
        <v>40</v>
      </c>
      <c r="E9" s="10">
        <f t="shared" si="0"/>
        <v>0.84251968503937003</v>
      </c>
      <c r="F9" s="2">
        <f>Table1[[#This Row],[المتبقى]]/4</f>
        <v>10</v>
      </c>
      <c r="G9" s="2">
        <f>Table1[[#This Row],[المستهدف - الأسبوعي]]/6</f>
        <v>1.6666666666666667</v>
      </c>
    </row>
    <row r="10" spans="1:7" ht="15.95" customHeight="1" x14ac:dyDescent="0.25">
      <c r="A10" s="5" t="s">
        <v>25</v>
      </c>
      <c r="B10" s="7">
        <v>308</v>
      </c>
      <c r="C10" s="9">
        <v>232</v>
      </c>
      <c r="D10" s="2">
        <f>Table1[[#This Row],[المستهدف]]-Table1[[#This Row],[ المنفذ]]</f>
        <v>76</v>
      </c>
      <c r="E10" s="10">
        <f t="shared" si="0"/>
        <v>0.75324675324675328</v>
      </c>
      <c r="F10" s="2">
        <f>Table1[[#This Row],[المتبقى]]/4</f>
        <v>19</v>
      </c>
      <c r="G10" s="2">
        <f>Table1[[#This Row],[المستهدف - الأسبوعي]]/6</f>
        <v>3.1666666666666665</v>
      </c>
    </row>
    <row r="11" spans="1:7" ht="15.95" customHeight="1" x14ac:dyDescent="0.25">
      <c r="A11" s="6" t="s">
        <v>26</v>
      </c>
      <c r="B11" s="7">
        <v>230</v>
      </c>
      <c r="C11" s="9">
        <v>195</v>
      </c>
      <c r="D11" s="2">
        <f>Table1[[#This Row],[المستهدف]]-Table1[[#This Row],[ المنفذ]]</f>
        <v>35</v>
      </c>
      <c r="E11" s="10">
        <f t="shared" si="0"/>
        <v>0.84782608695652173</v>
      </c>
      <c r="F11" s="2">
        <f>Table1[[#This Row],[المتبقى]]/4</f>
        <v>8.75</v>
      </c>
      <c r="G11" s="2">
        <f>Table1[[#This Row],[المستهدف - الأسبوعي]]/6</f>
        <v>1.4583333333333333</v>
      </c>
    </row>
    <row r="12" spans="1:7" ht="15.95" customHeight="1" x14ac:dyDescent="0.25">
      <c r="A12" s="5" t="s">
        <v>27</v>
      </c>
      <c r="B12" s="7">
        <v>260</v>
      </c>
      <c r="C12" s="9">
        <v>218</v>
      </c>
      <c r="D12" s="2">
        <f>Table1[[#This Row],[المستهدف]]-Table1[[#This Row],[ المنفذ]]</f>
        <v>42</v>
      </c>
      <c r="E12" s="10">
        <f t="shared" si="0"/>
        <v>0.83846153846153848</v>
      </c>
      <c r="F12" s="2">
        <f>Table1[[#This Row],[المتبقى]]/4</f>
        <v>10.5</v>
      </c>
      <c r="G12" s="2">
        <f>Table1[[#This Row],[المستهدف - الأسبوعي]]/6</f>
        <v>1.75</v>
      </c>
    </row>
    <row r="13" spans="1:7" ht="15.95" customHeight="1" x14ac:dyDescent="0.25">
      <c r="A13" s="6" t="s">
        <v>28</v>
      </c>
      <c r="B13" s="7">
        <v>296</v>
      </c>
      <c r="C13" s="9">
        <v>217</v>
      </c>
      <c r="D13" s="2">
        <f>Table1[[#This Row],[المستهدف]]-Table1[[#This Row],[ المنفذ]]</f>
        <v>79</v>
      </c>
      <c r="E13" s="10">
        <f t="shared" si="0"/>
        <v>0.73310810810810811</v>
      </c>
      <c r="F13" s="2">
        <f>Table1[[#This Row],[المتبقى]]/4</f>
        <v>19.75</v>
      </c>
      <c r="G13" s="2">
        <f>Table1[[#This Row],[المستهدف - الأسبوعي]]/6</f>
        <v>3.2916666666666665</v>
      </c>
    </row>
    <row r="14" spans="1:7" ht="15.95" customHeight="1" x14ac:dyDescent="0.25">
      <c r="A14" s="5" t="s">
        <v>29</v>
      </c>
      <c r="B14" s="7">
        <v>119</v>
      </c>
      <c r="C14" s="9">
        <v>111</v>
      </c>
      <c r="D14" s="2">
        <f>Table1[[#This Row],[المستهدف]]-Table1[[#This Row],[ المنفذ]]</f>
        <v>8</v>
      </c>
      <c r="E14" s="10">
        <f t="shared" si="0"/>
        <v>0.9327731092436975</v>
      </c>
      <c r="F14" s="2">
        <f>Table1[[#This Row],[المتبقى]]/4</f>
        <v>2</v>
      </c>
      <c r="G14" s="2">
        <f>Table1[[#This Row],[المستهدف - الأسبوعي]]/6</f>
        <v>0.33333333333333331</v>
      </c>
    </row>
    <row r="15" spans="1:7" ht="15.95" customHeight="1" x14ac:dyDescent="0.25">
      <c r="A15" s="6" t="s">
        <v>30</v>
      </c>
      <c r="B15" s="7">
        <v>297</v>
      </c>
      <c r="C15" s="9">
        <v>178</v>
      </c>
      <c r="D15" s="2">
        <f>Table1[[#This Row],[المستهدف]]-Table1[[#This Row],[ المنفذ]]</f>
        <v>119</v>
      </c>
      <c r="E15" s="10">
        <f t="shared" si="0"/>
        <v>0.59932659932659937</v>
      </c>
      <c r="F15" s="2">
        <f>Table1[[#This Row],[المتبقى]]/4</f>
        <v>29.75</v>
      </c>
      <c r="G15" s="2">
        <f>Table1[[#This Row],[المستهدف - الأسبوعي]]/6</f>
        <v>4.958333333333333</v>
      </c>
    </row>
    <row r="16" spans="1:7" ht="15.95" customHeight="1" x14ac:dyDescent="0.25">
      <c r="A16" s="4" t="s">
        <v>64</v>
      </c>
      <c r="B16" s="12">
        <f>SUBTOTAL(109,B2:B15)</f>
        <v>3800</v>
      </c>
      <c r="C16" s="12">
        <f t="shared" ref="C16:G16" si="1">SUBTOTAL(109,C2:C15)</f>
        <v>2661</v>
      </c>
      <c r="D16" s="12">
        <f t="shared" si="1"/>
        <v>1139</v>
      </c>
      <c r="E16" s="11">
        <f t="shared" si="0"/>
        <v>0.70026315789473681</v>
      </c>
      <c r="F16" s="12">
        <f t="shared" si="1"/>
        <v>284.75</v>
      </c>
      <c r="G16" s="12">
        <f t="shared" si="1"/>
        <v>47.458333333333336</v>
      </c>
    </row>
    <row r="17" spans="1:7" ht="15.95" customHeight="1" x14ac:dyDescent="0.25">
      <c r="A17" s="6" t="s">
        <v>5</v>
      </c>
      <c r="B17" s="7">
        <v>310</v>
      </c>
      <c r="C17" s="7">
        <v>15</v>
      </c>
      <c r="D17" s="2">
        <f>Table1[[#This Row],[المستهدف]]-Table1[[#This Row],[ المنفذ]]</f>
        <v>295</v>
      </c>
      <c r="E17" s="10">
        <f t="shared" si="0"/>
        <v>4.8387096774193547E-2</v>
      </c>
      <c r="F17" s="2">
        <f>Table1[[#This Row],[المتبقى]]/4</f>
        <v>73.75</v>
      </c>
      <c r="G17" s="2">
        <f>Table1[[#This Row],[المستهدف - الأسبوعي]]/6</f>
        <v>12.291666666666666</v>
      </c>
    </row>
    <row r="18" spans="1:7" ht="15.95" customHeight="1" x14ac:dyDescent="0.25">
      <c r="A18" s="5" t="s">
        <v>6</v>
      </c>
      <c r="B18" s="7">
        <v>535</v>
      </c>
      <c r="C18" s="7">
        <v>87</v>
      </c>
      <c r="D18" s="2">
        <f>Table1[[#This Row],[المستهدف]]-Table1[[#This Row],[ المنفذ]]</f>
        <v>448</v>
      </c>
      <c r="E18" s="10">
        <f t="shared" si="0"/>
        <v>0.16261682242990655</v>
      </c>
      <c r="F18" s="2">
        <f>Table1[[#This Row],[المتبقى]]/4</f>
        <v>112</v>
      </c>
      <c r="G18" s="2">
        <f>Table1[[#This Row],[المستهدف - الأسبوعي]]/6</f>
        <v>18.666666666666668</v>
      </c>
    </row>
    <row r="19" spans="1:7" ht="15.95" customHeight="1" x14ac:dyDescent="0.25">
      <c r="A19" s="6" t="s">
        <v>7</v>
      </c>
      <c r="B19" s="7">
        <v>250</v>
      </c>
      <c r="C19" s="7">
        <v>9</v>
      </c>
      <c r="D19" s="2">
        <f>Table1[[#This Row],[المستهدف]]-Table1[[#This Row],[ المنفذ]]</f>
        <v>241</v>
      </c>
      <c r="E19" s="10">
        <f t="shared" si="0"/>
        <v>3.5999999999999997E-2</v>
      </c>
      <c r="F19" s="2">
        <f>Table1[[#This Row],[المتبقى]]/4</f>
        <v>60.25</v>
      </c>
      <c r="G19" s="2">
        <f>Table1[[#This Row],[المستهدف - الأسبوعي]]/6</f>
        <v>10.041666666666666</v>
      </c>
    </row>
    <row r="20" spans="1:7" ht="15.95" customHeight="1" x14ac:dyDescent="0.25">
      <c r="A20" s="5" t="s">
        <v>8</v>
      </c>
      <c r="B20" s="7">
        <v>95</v>
      </c>
      <c r="C20" s="7">
        <v>10</v>
      </c>
      <c r="D20" s="2">
        <f>Table1[[#This Row],[المستهدف]]-Table1[[#This Row],[ المنفذ]]</f>
        <v>85</v>
      </c>
      <c r="E20" s="10">
        <f t="shared" si="0"/>
        <v>0.10526315789473684</v>
      </c>
      <c r="F20" s="2">
        <f>Table1[[#This Row],[المتبقى]]/4</f>
        <v>21.25</v>
      </c>
      <c r="G20" s="2">
        <f>Table1[[#This Row],[المستهدف - الأسبوعي]]/6</f>
        <v>3.5416666666666665</v>
      </c>
    </row>
    <row r="21" spans="1:7" ht="15.95" customHeight="1" x14ac:dyDescent="0.25">
      <c r="A21" s="6" t="s">
        <v>9</v>
      </c>
      <c r="B21" s="7">
        <v>829</v>
      </c>
      <c r="C21" s="7">
        <v>1</v>
      </c>
      <c r="D21" s="2">
        <f>Table1[[#This Row],[المستهدف]]-Table1[[#This Row],[ المنفذ]]</f>
        <v>828</v>
      </c>
      <c r="E21" s="10">
        <f t="shared" si="0"/>
        <v>1.2062726176115801E-3</v>
      </c>
      <c r="F21" s="2">
        <f>Table1[[#This Row],[المتبقى]]/4</f>
        <v>207</v>
      </c>
      <c r="G21" s="2">
        <f>Table1[[#This Row],[المستهدف - الأسبوعي]]/6</f>
        <v>34.5</v>
      </c>
    </row>
    <row r="22" spans="1:7" ht="15.95" customHeight="1" x14ac:dyDescent="0.25">
      <c r="A22" s="5" t="s">
        <v>10</v>
      </c>
      <c r="B22" s="7">
        <v>232</v>
      </c>
      <c r="C22" s="7">
        <v>10</v>
      </c>
      <c r="D22" s="2">
        <f>Table1[[#This Row],[المستهدف]]-Table1[[#This Row],[ المنفذ]]</f>
        <v>222</v>
      </c>
      <c r="E22" s="10">
        <f t="shared" si="0"/>
        <v>4.3103448275862072E-2</v>
      </c>
      <c r="F22" s="2">
        <f>Table1[[#This Row],[المتبقى]]/4</f>
        <v>55.5</v>
      </c>
      <c r="G22" s="2">
        <f>Table1[[#This Row],[المستهدف - الأسبوعي]]/6</f>
        <v>9.25</v>
      </c>
    </row>
    <row r="23" spans="1:7" ht="15.95" customHeight="1" x14ac:dyDescent="0.25">
      <c r="A23" s="6" t="s">
        <v>11</v>
      </c>
      <c r="B23" s="7">
        <v>162</v>
      </c>
      <c r="C23" s="7">
        <v>0</v>
      </c>
      <c r="D23" s="2">
        <f>Table1[[#This Row],[المستهدف]]-Table1[[#This Row],[ المنفذ]]</f>
        <v>162</v>
      </c>
      <c r="E23" s="10">
        <f t="shared" si="0"/>
        <v>0</v>
      </c>
      <c r="F23" s="2">
        <f>Table1[[#This Row],[المتبقى]]/4</f>
        <v>40.5</v>
      </c>
      <c r="G23" s="2">
        <f>Table1[[#This Row],[المستهدف - الأسبوعي]]/6</f>
        <v>6.75</v>
      </c>
    </row>
    <row r="24" spans="1:7" ht="15.95" customHeight="1" x14ac:dyDescent="0.25">
      <c r="A24" s="5" t="s">
        <v>12</v>
      </c>
      <c r="B24" s="7">
        <v>434</v>
      </c>
      <c r="C24" s="7">
        <v>6</v>
      </c>
      <c r="D24" s="2">
        <f>Table1[[#This Row],[المستهدف]]-Table1[[#This Row],[ المنفذ]]</f>
        <v>428</v>
      </c>
      <c r="E24" s="10">
        <f t="shared" si="0"/>
        <v>1.3824884792626729E-2</v>
      </c>
      <c r="F24" s="2">
        <f>Table1[[#This Row],[المتبقى]]/4</f>
        <v>107</v>
      </c>
      <c r="G24" s="2">
        <f>Table1[[#This Row],[المستهدف - الأسبوعي]]/6</f>
        <v>17.833333333333332</v>
      </c>
    </row>
    <row r="25" spans="1:7" ht="15.95" customHeight="1" x14ac:dyDescent="0.25">
      <c r="A25" s="6" t="s">
        <v>13</v>
      </c>
      <c r="B25" s="7">
        <v>369</v>
      </c>
      <c r="C25" s="7">
        <v>16</v>
      </c>
      <c r="D25" s="2">
        <f>Table1[[#This Row],[المستهدف]]-Table1[[#This Row],[ المنفذ]]</f>
        <v>353</v>
      </c>
      <c r="E25" s="10">
        <f t="shared" si="0"/>
        <v>4.3360433604336043E-2</v>
      </c>
      <c r="F25" s="2">
        <f>Table1[[#This Row],[المتبقى]]/4</f>
        <v>88.25</v>
      </c>
      <c r="G25" s="2">
        <f>Table1[[#This Row],[المستهدف - الأسبوعي]]/6</f>
        <v>14.708333333333334</v>
      </c>
    </row>
    <row r="26" spans="1:7" ht="15.95" customHeight="1" x14ac:dyDescent="0.25">
      <c r="A26" s="5" t="s">
        <v>14</v>
      </c>
      <c r="B26" s="7">
        <v>281</v>
      </c>
      <c r="C26" s="7">
        <v>10</v>
      </c>
      <c r="D26" s="2">
        <f>Table1[[#This Row],[المستهدف]]-Table1[[#This Row],[ المنفذ]]</f>
        <v>271</v>
      </c>
      <c r="E26" s="10">
        <f t="shared" si="0"/>
        <v>3.5587188612099648E-2</v>
      </c>
      <c r="F26" s="2">
        <f>Table1[[#This Row],[المتبقى]]/4</f>
        <v>67.75</v>
      </c>
      <c r="G26" s="2">
        <f>Table1[[#This Row],[المستهدف - الأسبوعي]]/6</f>
        <v>11.291666666666666</v>
      </c>
    </row>
    <row r="27" spans="1:7" ht="15.95" customHeight="1" x14ac:dyDescent="0.25">
      <c r="A27" s="6" t="s">
        <v>15</v>
      </c>
      <c r="B27" s="7">
        <v>299</v>
      </c>
      <c r="C27" s="7">
        <v>14</v>
      </c>
      <c r="D27" s="2">
        <f>Table1[[#This Row],[المستهدف]]-Table1[[#This Row],[ المنفذ]]</f>
        <v>285</v>
      </c>
      <c r="E27" s="10">
        <f t="shared" si="0"/>
        <v>4.6822742474916385E-2</v>
      </c>
      <c r="F27" s="2">
        <f>Table1[[#This Row],[المتبقى]]/4</f>
        <v>71.25</v>
      </c>
      <c r="G27" s="2">
        <f>Table1[[#This Row],[المستهدف - الأسبوعي]]/6</f>
        <v>11.875</v>
      </c>
    </row>
    <row r="28" spans="1:7" ht="15.95" customHeight="1" x14ac:dyDescent="0.25">
      <c r="A28" s="4" t="s">
        <v>65</v>
      </c>
      <c r="B28" s="12">
        <f>SUBTOTAL(109,B17:B27)</f>
        <v>3796</v>
      </c>
      <c r="C28" s="12">
        <f t="shared" ref="C28:G28" si="2">SUBTOTAL(109,C17:C27)</f>
        <v>178</v>
      </c>
      <c r="D28" s="12">
        <f t="shared" si="2"/>
        <v>3618</v>
      </c>
      <c r="E28" s="11">
        <f t="shared" si="0"/>
        <v>4.6891464699683881E-2</v>
      </c>
      <c r="F28" s="12">
        <f t="shared" si="2"/>
        <v>904.5</v>
      </c>
      <c r="G28" s="12">
        <f t="shared" si="2"/>
        <v>150.74999999999997</v>
      </c>
    </row>
    <row r="29" spans="1:7" ht="15.95" customHeight="1" x14ac:dyDescent="0.25">
      <c r="A29" s="6" t="s">
        <v>32</v>
      </c>
      <c r="B29" s="7">
        <v>707</v>
      </c>
      <c r="C29" s="7">
        <v>460</v>
      </c>
      <c r="D29" s="2">
        <f>Table1[[#This Row],[المستهدف]]-Table1[[#This Row],[ المنفذ]]</f>
        <v>247</v>
      </c>
      <c r="E29" s="10">
        <f t="shared" si="0"/>
        <v>0.65063649222065068</v>
      </c>
      <c r="F29" s="2">
        <f>Table1[[#This Row],[المتبقى]]/4</f>
        <v>61.75</v>
      </c>
      <c r="G29" s="2">
        <f>Table1[[#This Row],[المستهدف - الأسبوعي]]/6</f>
        <v>10.291666666666666</v>
      </c>
    </row>
    <row r="30" spans="1:7" ht="15.95" customHeight="1" x14ac:dyDescent="0.25">
      <c r="A30" s="5" t="s">
        <v>33</v>
      </c>
      <c r="B30" s="7">
        <v>880</v>
      </c>
      <c r="C30" s="7">
        <v>168</v>
      </c>
      <c r="D30" s="2">
        <f>Table1[[#This Row],[المستهدف]]-Table1[[#This Row],[ المنفذ]]</f>
        <v>712</v>
      </c>
      <c r="E30" s="10">
        <f t="shared" si="0"/>
        <v>0.19090909090909092</v>
      </c>
      <c r="F30" s="2">
        <f>Table1[[#This Row],[المتبقى]]/4</f>
        <v>178</v>
      </c>
      <c r="G30" s="2">
        <f>Table1[[#This Row],[المستهدف - الأسبوعي]]/6</f>
        <v>29.666666666666668</v>
      </c>
    </row>
    <row r="31" spans="1:7" ht="15.95" customHeight="1" x14ac:dyDescent="0.25">
      <c r="A31" s="6" t="s">
        <v>34</v>
      </c>
      <c r="B31" s="7">
        <v>637</v>
      </c>
      <c r="C31" s="7">
        <v>146</v>
      </c>
      <c r="D31" s="2">
        <f>Table1[[#This Row],[المستهدف]]-Table1[[#This Row],[ المنفذ]]</f>
        <v>491</v>
      </c>
      <c r="E31" s="10">
        <f t="shared" si="0"/>
        <v>0.22919937205651492</v>
      </c>
      <c r="F31" s="2">
        <f>Table1[[#This Row],[المتبقى]]/4</f>
        <v>122.75</v>
      </c>
      <c r="G31" s="2">
        <f>Table1[[#This Row],[المستهدف - الأسبوعي]]/6</f>
        <v>20.458333333333332</v>
      </c>
    </row>
    <row r="32" spans="1:7" ht="15.95" customHeight="1" x14ac:dyDescent="0.25">
      <c r="A32" s="5" t="s">
        <v>35</v>
      </c>
      <c r="B32" s="7">
        <v>371</v>
      </c>
      <c r="C32" s="7">
        <v>168</v>
      </c>
      <c r="D32" s="2">
        <f>Table1[[#This Row],[المستهدف]]-Table1[[#This Row],[ المنفذ]]</f>
        <v>203</v>
      </c>
      <c r="E32" s="10">
        <f t="shared" si="0"/>
        <v>0.45283018867924529</v>
      </c>
      <c r="F32" s="2">
        <f>Table1[[#This Row],[المتبقى]]/4</f>
        <v>50.75</v>
      </c>
      <c r="G32" s="2">
        <f>Table1[[#This Row],[المستهدف - الأسبوعي]]/6</f>
        <v>8.4583333333333339</v>
      </c>
    </row>
    <row r="33" spans="1:7" ht="15.95" customHeight="1" x14ac:dyDescent="0.25">
      <c r="A33" s="6" t="s">
        <v>36</v>
      </c>
      <c r="B33" s="7">
        <v>497</v>
      </c>
      <c r="C33" s="7">
        <v>189</v>
      </c>
      <c r="D33" s="2">
        <f>Table1[[#This Row],[المستهدف]]-Table1[[#This Row],[ المنفذ]]</f>
        <v>308</v>
      </c>
      <c r="E33" s="10">
        <f t="shared" si="0"/>
        <v>0.38028169014084506</v>
      </c>
      <c r="F33" s="2">
        <f>Table1[[#This Row],[المتبقى]]/4</f>
        <v>77</v>
      </c>
      <c r="G33" s="2">
        <f>Table1[[#This Row],[المستهدف - الأسبوعي]]/6</f>
        <v>12.833333333333334</v>
      </c>
    </row>
    <row r="34" spans="1:7" ht="15.95" customHeight="1" x14ac:dyDescent="0.25">
      <c r="A34" s="5" t="s">
        <v>37</v>
      </c>
      <c r="B34" s="7">
        <v>387</v>
      </c>
      <c r="C34" s="7">
        <v>133</v>
      </c>
      <c r="D34" s="2">
        <f>Table1[[#This Row],[المستهدف]]-Table1[[#This Row],[ المنفذ]]</f>
        <v>254</v>
      </c>
      <c r="E34" s="10">
        <f t="shared" si="0"/>
        <v>0.34366925064599485</v>
      </c>
      <c r="F34" s="2">
        <f>Table1[[#This Row],[المتبقى]]/4</f>
        <v>63.5</v>
      </c>
      <c r="G34" s="2">
        <f>Table1[[#This Row],[المستهدف - الأسبوعي]]/6</f>
        <v>10.583333333333334</v>
      </c>
    </row>
    <row r="35" spans="1:7" ht="15.95" customHeight="1" x14ac:dyDescent="0.25">
      <c r="A35" s="6" t="s">
        <v>38</v>
      </c>
      <c r="B35" s="7">
        <v>760</v>
      </c>
      <c r="C35" s="7">
        <v>407</v>
      </c>
      <c r="D35" s="2">
        <f>Table1[[#This Row],[المستهدف]]-Table1[[#This Row],[ المنفذ]]</f>
        <v>353</v>
      </c>
      <c r="E35" s="10">
        <f t="shared" si="0"/>
        <v>0.53552631578947374</v>
      </c>
      <c r="F35" s="2">
        <f>Table1[[#This Row],[المتبقى]]/4</f>
        <v>88.25</v>
      </c>
      <c r="G35" s="2">
        <f>Table1[[#This Row],[المستهدف - الأسبوعي]]/6</f>
        <v>14.708333333333334</v>
      </c>
    </row>
    <row r="36" spans="1:7" ht="15.95" customHeight="1" x14ac:dyDescent="0.25">
      <c r="A36" s="5" t="s">
        <v>39</v>
      </c>
      <c r="B36" s="7">
        <v>139</v>
      </c>
      <c r="C36" s="7">
        <v>86</v>
      </c>
      <c r="D36" s="2">
        <f>Table1[[#This Row],[المستهدف]]-Table1[[#This Row],[ المنفذ]]</f>
        <v>53</v>
      </c>
      <c r="E36" s="10">
        <f t="shared" si="0"/>
        <v>0.61870503597122306</v>
      </c>
      <c r="F36" s="2">
        <f>Table1[[#This Row],[المتبقى]]/4</f>
        <v>13.25</v>
      </c>
      <c r="G36" s="2">
        <f>Table1[[#This Row],[المستهدف - الأسبوعي]]/6</f>
        <v>2.2083333333333335</v>
      </c>
    </row>
    <row r="37" spans="1:7" ht="15.95" customHeight="1" x14ac:dyDescent="0.25">
      <c r="A37" s="6" t="s">
        <v>40</v>
      </c>
      <c r="B37" s="7">
        <v>571</v>
      </c>
      <c r="C37" s="7">
        <v>118</v>
      </c>
      <c r="D37" s="2">
        <f>Table1[[#This Row],[المستهدف]]-Table1[[#This Row],[ المنفذ]]</f>
        <v>453</v>
      </c>
      <c r="E37" s="10">
        <f t="shared" si="0"/>
        <v>0.20665499124343256</v>
      </c>
      <c r="F37" s="2">
        <f>Table1[[#This Row],[المتبقى]]/4</f>
        <v>113.25</v>
      </c>
      <c r="G37" s="2">
        <f>Table1[[#This Row],[المستهدف - الأسبوعي]]/6</f>
        <v>18.875</v>
      </c>
    </row>
    <row r="38" spans="1:7" ht="15.95" customHeight="1" x14ac:dyDescent="0.25">
      <c r="A38" s="5" t="s">
        <v>41</v>
      </c>
      <c r="B38" s="7">
        <v>275</v>
      </c>
      <c r="C38" s="7">
        <v>97</v>
      </c>
      <c r="D38" s="2">
        <f>Table1[[#This Row],[المستهدف]]-Table1[[#This Row],[ المنفذ]]</f>
        <v>178</v>
      </c>
      <c r="E38" s="10">
        <f t="shared" si="0"/>
        <v>0.35272727272727272</v>
      </c>
      <c r="F38" s="2">
        <f>Table1[[#This Row],[المتبقى]]/4</f>
        <v>44.5</v>
      </c>
      <c r="G38" s="2">
        <f>Table1[[#This Row],[المستهدف - الأسبوعي]]/6</f>
        <v>7.416666666666667</v>
      </c>
    </row>
    <row r="39" spans="1:7" ht="15.95" customHeight="1" x14ac:dyDescent="0.25">
      <c r="A39" s="6" t="s">
        <v>42</v>
      </c>
      <c r="B39" s="7">
        <v>339</v>
      </c>
      <c r="C39" s="7">
        <v>56</v>
      </c>
      <c r="D39" s="2">
        <f>Table1[[#This Row],[المستهدف]]-Table1[[#This Row],[ المنفذ]]</f>
        <v>283</v>
      </c>
      <c r="E39" s="10">
        <f t="shared" si="0"/>
        <v>0.16519174041297935</v>
      </c>
      <c r="F39" s="2">
        <f>Table1[[#This Row],[المتبقى]]/4</f>
        <v>70.75</v>
      </c>
      <c r="G39" s="2">
        <f>Table1[[#This Row],[المستهدف - الأسبوعي]]/6</f>
        <v>11.791666666666666</v>
      </c>
    </row>
    <row r="40" spans="1:7" ht="15.95" customHeight="1" x14ac:dyDescent="0.25">
      <c r="A40" s="5" t="s">
        <v>43</v>
      </c>
      <c r="B40" s="7">
        <v>475</v>
      </c>
      <c r="C40" s="7">
        <v>200</v>
      </c>
      <c r="D40" s="2">
        <f>Table1[[#This Row],[المستهدف]]-Table1[[#This Row],[ المنفذ]]</f>
        <v>275</v>
      </c>
      <c r="E40" s="10">
        <f t="shared" si="0"/>
        <v>0.42105263157894735</v>
      </c>
      <c r="F40" s="2">
        <f>Table1[[#This Row],[المتبقى]]/4</f>
        <v>68.75</v>
      </c>
      <c r="G40" s="2">
        <f>Table1[[#This Row],[المستهدف - الأسبوعي]]/6</f>
        <v>11.458333333333334</v>
      </c>
    </row>
    <row r="41" spans="1:7" ht="15.95" customHeight="1" x14ac:dyDescent="0.25">
      <c r="A41" s="6" t="s">
        <v>44</v>
      </c>
      <c r="B41" s="7">
        <v>345</v>
      </c>
      <c r="C41" s="7">
        <v>179</v>
      </c>
      <c r="D41" s="2">
        <f>Table1[[#This Row],[المستهدف]]-Table1[[#This Row],[ المنفذ]]</f>
        <v>166</v>
      </c>
      <c r="E41" s="10">
        <f t="shared" si="0"/>
        <v>0.51884057971014497</v>
      </c>
      <c r="F41" s="2">
        <f>Table1[[#This Row],[المتبقى]]/4</f>
        <v>41.5</v>
      </c>
      <c r="G41" s="2">
        <f>Table1[[#This Row],[المستهدف - الأسبوعي]]/6</f>
        <v>6.916666666666667</v>
      </c>
    </row>
    <row r="42" spans="1:7" ht="15.95" customHeight="1" x14ac:dyDescent="0.25">
      <c r="A42" s="4" t="s">
        <v>66</v>
      </c>
      <c r="B42" s="12">
        <f>SUBTOTAL(109,B29:B41)</f>
        <v>6383</v>
      </c>
      <c r="C42" s="12">
        <f>SUBTOTAL(109,C29:C41)</f>
        <v>2407</v>
      </c>
      <c r="D42" s="12">
        <f t="shared" ref="D42:G42" si="3">SUBTOTAL(109,D29:D41)</f>
        <v>3976</v>
      </c>
      <c r="E42" s="11">
        <f t="shared" si="0"/>
        <v>0.37709540968196775</v>
      </c>
      <c r="F42" s="12">
        <f t="shared" si="3"/>
        <v>994</v>
      </c>
      <c r="G42" s="12">
        <f t="shared" si="3"/>
        <v>165.66666666666663</v>
      </c>
    </row>
    <row r="43" spans="1:7" ht="15.95" customHeight="1" x14ac:dyDescent="0.25">
      <c r="A43" s="5" t="s">
        <v>46</v>
      </c>
      <c r="B43" s="7">
        <v>446</v>
      </c>
      <c r="C43" s="7">
        <v>194</v>
      </c>
      <c r="D43" s="2">
        <f>Table1[[#This Row],[المستهدف]]-Table1[[#This Row],[ المنفذ]]</f>
        <v>252</v>
      </c>
      <c r="E43" s="10">
        <f t="shared" si="0"/>
        <v>0.4349775784753363</v>
      </c>
      <c r="F43" s="2">
        <f>Table1[[#This Row],[المتبقى]]/4</f>
        <v>63</v>
      </c>
      <c r="G43" s="2">
        <f>Table1[[#This Row],[المستهدف - الأسبوعي]]/6</f>
        <v>10.5</v>
      </c>
    </row>
    <row r="44" spans="1:7" ht="15.95" customHeight="1" x14ac:dyDescent="0.25">
      <c r="A44" s="6" t="s">
        <v>47</v>
      </c>
      <c r="B44" s="7">
        <v>357</v>
      </c>
      <c r="C44" s="7">
        <v>155</v>
      </c>
      <c r="D44" s="2">
        <f>Table1[[#This Row],[المستهدف]]-Table1[[#This Row],[ المنفذ]]</f>
        <v>202</v>
      </c>
      <c r="E44" s="10">
        <f t="shared" si="0"/>
        <v>0.43417366946778713</v>
      </c>
      <c r="F44" s="2">
        <f>Table1[[#This Row],[المتبقى]]/4</f>
        <v>50.5</v>
      </c>
      <c r="G44" s="2">
        <f>Table1[[#This Row],[المستهدف - الأسبوعي]]/6</f>
        <v>8.4166666666666661</v>
      </c>
    </row>
    <row r="45" spans="1:7" ht="15.95" customHeight="1" x14ac:dyDescent="0.25">
      <c r="A45" s="5" t="s">
        <v>48</v>
      </c>
      <c r="B45" s="7">
        <v>332</v>
      </c>
      <c r="C45" s="7">
        <v>244</v>
      </c>
      <c r="D45" s="2">
        <f>Table1[[#This Row],[المستهدف]]-Table1[[#This Row],[ المنفذ]]</f>
        <v>88</v>
      </c>
      <c r="E45" s="10">
        <f t="shared" si="0"/>
        <v>0.73493975903614461</v>
      </c>
      <c r="F45" s="2">
        <f>Table1[[#This Row],[المتبقى]]/4</f>
        <v>22</v>
      </c>
      <c r="G45" s="2">
        <f>Table1[[#This Row],[المستهدف - الأسبوعي]]/6</f>
        <v>3.6666666666666665</v>
      </c>
    </row>
    <row r="46" spans="1:7" ht="15.95" customHeight="1" x14ac:dyDescent="0.25">
      <c r="A46" s="6" t="s">
        <v>49</v>
      </c>
      <c r="B46" s="7">
        <v>313</v>
      </c>
      <c r="C46" s="7">
        <v>249</v>
      </c>
      <c r="D46" s="2">
        <f>Table1[[#This Row],[المستهدف]]-Table1[[#This Row],[ المنفذ]]</f>
        <v>64</v>
      </c>
      <c r="E46" s="10">
        <f t="shared" si="0"/>
        <v>0.79552715654952078</v>
      </c>
      <c r="F46" s="2">
        <f>Table1[[#This Row],[المتبقى]]/4</f>
        <v>16</v>
      </c>
      <c r="G46" s="2">
        <f>Table1[[#This Row],[المستهدف - الأسبوعي]]/6</f>
        <v>2.6666666666666665</v>
      </c>
    </row>
    <row r="47" spans="1:7" ht="15.95" customHeight="1" x14ac:dyDescent="0.25">
      <c r="A47" s="5" t="s">
        <v>50</v>
      </c>
      <c r="B47" s="7">
        <v>389</v>
      </c>
      <c r="C47" s="7">
        <v>130</v>
      </c>
      <c r="D47" s="2">
        <f>Table1[[#This Row],[المستهدف]]-Table1[[#This Row],[ المنفذ]]</f>
        <v>259</v>
      </c>
      <c r="E47" s="10">
        <f t="shared" si="0"/>
        <v>0.33419023136246789</v>
      </c>
      <c r="F47" s="2">
        <f>Table1[[#This Row],[المتبقى]]/4</f>
        <v>64.75</v>
      </c>
      <c r="G47" s="2">
        <f>Table1[[#This Row],[المستهدف - الأسبوعي]]/6</f>
        <v>10.791666666666666</v>
      </c>
    </row>
    <row r="48" spans="1:7" ht="15.95" customHeight="1" x14ac:dyDescent="0.25">
      <c r="A48" s="6" t="s">
        <v>51</v>
      </c>
      <c r="B48" s="7">
        <v>353</v>
      </c>
      <c r="C48" s="7">
        <v>36</v>
      </c>
      <c r="D48" s="2">
        <f>Table1[[#This Row],[المستهدف]]-Table1[[#This Row],[ المنفذ]]</f>
        <v>317</v>
      </c>
      <c r="E48" s="10">
        <f t="shared" si="0"/>
        <v>0.10198300283286119</v>
      </c>
      <c r="F48" s="2">
        <f>Table1[[#This Row],[المتبقى]]/4</f>
        <v>79.25</v>
      </c>
      <c r="G48" s="2">
        <f>Table1[[#This Row],[المستهدف - الأسبوعي]]/6</f>
        <v>13.208333333333334</v>
      </c>
    </row>
    <row r="49" spans="1:7" ht="15.95" customHeight="1" x14ac:dyDescent="0.25">
      <c r="A49" s="5" t="s">
        <v>52</v>
      </c>
      <c r="B49" s="7">
        <v>435</v>
      </c>
      <c r="C49" s="7">
        <v>194</v>
      </c>
      <c r="D49" s="2">
        <f>Table1[[#This Row],[المستهدف]]-Table1[[#This Row],[ المنفذ]]</f>
        <v>241</v>
      </c>
      <c r="E49" s="10">
        <f t="shared" si="0"/>
        <v>0.4459770114942529</v>
      </c>
      <c r="F49" s="2">
        <f>Table1[[#This Row],[المتبقى]]/4</f>
        <v>60.25</v>
      </c>
      <c r="G49" s="2">
        <f>Table1[[#This Row],[المستهدف - الأسبوعي]]/6</f>
        <v>10.041666666666666</v>
      </c>
    </row>
    <row r="50" spans="1:7" ht="15.95" customHeight="1" x14ac:dyDescent="0.25">
      <c r="A50" s="6" t="s">
        <v>53</v>
      </c>
      <c r="B50" s="7">
        <v>201</v>
      </c>
      <c r="C50" s="7">
        <v>167</v>
      </c>
      <c r="D50" s="2">
        <f>Table1[[#This Row],[المستهدف]]-Table1[[#This Row],[ المنفذ]]</f>
        <v>34</v>
      </c>
      <c r="E50" s="10">
        <f t="shared" si="0"/>
        <v>0.8308457711442786</v>
      </c>
      <c r="F50" s="2">
        <f>Table1[[#This Row],[المتبقى]]/4</f>
        <v>8.5</v>
      </c>
      <c r="G50" s="2">
        <f>Table1[[#This Row],[المستهدف - الأسبوعي]]/6</f>
        <v>1.4166666666666667</v>
      </c>
    </row>
    <row r="51" spans="1:7" ht="15.95" customHeight="1" x14ac:dyDescent="0.25">
      <c r="A51" s="5" t="s">
        <v>54</v>
      </c>
      <c r="B51" s="7">
        <v>385</v>
      </c>
      <c r="C51" s="7">
        <v>184</v>
      </c>
      <c r="D51" s="2">
        <f>Table1[[#This Row],[المستهدف]]-Table1[[#This Row],[ المنفذ]]</f>
        <v>201</v>
      </c>
      <c r="E51" s="10">
        <f t="shared" si="0"/>
        <v>0.47792207792207791</v>
      </c>
      <c r="F51" s="2">
        <f>Table1[[#This Row],[المتبقى]]/4</f>
        <v>50.25</v>
      </c>
      <c r="G51" s="2">
        <f>Table1[[#This Row],[المستهدف - الأسبوعي]]/6</f>
        <v>8.375</v>
      </c>
    </row>
    <row r="52" spans="1:7" ht="15.95" customHeight="1" x14ac:dyDescent="0.25">
      <c r="A52" s="6" t="s">
        <v>55</v>
      </c>
      <c r="B52" s="7">
        <v>225</v>
      </c>
      <c r="C52" s="7">
        <v>141</v>
      </c>
      <c r="D52" s="2">
        <f>Table1[[#This Row],[المستهدف]]-Table1[[#This Row],[ المنفذ]]</f>
        <v>84</v>
      </c>
      <c r="E52" s="10">
        <f t="shared" si="0"/>
        <v>0.62666666666666671</v>
      </c>
      <c r="F52" s="2">
        <f>Table1[[#This Row],[المتبقى]]/4</f>
        <v>21</v>
      </c>
      <c r="G52" s="2">
        <f>Table1[[#This Row],[المستهدف - الأسبوعي]]/6</f>
        <v>3.5</v>
      </c>
    </row>
    <row r="53" spans="1:7" ht="15.95" customHeight="1" x14ac:dyDescent="0.25">
      <c r="A53" s="5" t="s">
        <v>56</v>
      </c>
      <c r="B53" s="7">
        <v>332</v>
      </c>
      <c r="C53" s="7">
        <v>190</v>
      </c>
      <c r="D53" s="2">
        <f>Table1[[#This Row],[المستهدف]]-Table1[[#This Row],[ المنفذ]]</f>
        <v>142</v>
      </c>
      <c r="E53" s="10">
        <f t="shared" si="0"/>
        <v>0.57228915662650603</v>
      </c>
      <c r="F53" s="2">
        <f>Table1[[#This Row],[المتبقى]]/4</f>
        <v>35.5</v>
      </c>
      <c r="G53" s="2">
        <f>Table1[[#This Row],[المستهدف - الأسبوعي]]/6</f>
        <v>5.916666666666667</v>
      </c>
    </row>
    <row r="54" spans="1:7" ht="15.95" customHeight="1" x14ac:dyDescent="0.25">
      <c r="A54" s="6" t="s">
        <v>57</v>
      </c>
      <c r="B54" s="7">
        <v>586</v>
      </c>
      <c r="C54" s="7">
        <v>188</v>
      </c>
      <c r="D54" s="2">
        <f>Table1[[#This Row],[المستهدف]]-Table1[[#This Row],[ المنفذ]]</f>
        <v>398</v>
      </c>
      <c r="E54" s="10">
        <f t="shared" si="0"/>
        <v>0.32081911262798635</v>
      </c>
      <c r="F54" s="2">
        <f>Table1[[#This Row],[المتبقى]]/4</f>
        <v>99.5</v>
      </c>
      <c r="G54" s="2">
        <f>Table1[[#This Row],[المستهدف - الأسبوعي]]/6</f>
        <v>16.583333333333332</v>
      </c>
    </row>
    <row r="55" spans="1:7" ht="15.95" customHeight="1" x14ac:dyDescent="0.25">
      <c r="A55" s="5" t="s">
        <v>58</v>
      </c>
      <c r="B55" s="7">
        <v>243</v>
      </c>
      <c r="C55" s="7">
        <v>99</v>
      </c>
      <c r="D55" s="2">
        <f>Table1[[#This Row],[المستهدف]]-Table1[[#This Row],[ المنفذ]]</f>
        <v>144</v>
      </c>
      <c r="E55" s="10">
        <f t="shared" si="0"/>
        <v>0.40740740740740738</v>
      </c>
      <c r="F55" s="2">
        <f>Table1[[#This Row],[المتبقى]]/4</f>
        <v>36</v>
      </c>
      <c r="G55" s="2">
        <f>Table1[[#This Row],[المستهدف - الأسبوعي]]/6</f>
        <v>6</v>
      </c>
    </row>
    <row r="56" spans="1:7" ht="15.95" customHeight="1" x14ac:dyDescent="0.25">
      <c r="A56" s="6" t="s">
        <v>59</v>
      </c>
      <c r="B56" s="7">
        <v>333</v>
      </c>
      <c r="C56" s="7">
        <v>118</v>
      </c>
      <c r="D56" s="2">
        <f>Table1[[#This Row],[المستهدف]]-Table1[[#This Row],[ المنفذ]]</f>
        <v>215</v>
      </c>
      <c r="E56" s="10">
        <f t="shared" si="0"/>
        <v>0.35435435435435436</v>
      </c>
      <c r="F56" s="2">
        <f>Table1[[#This Row],[المتبقى]]/4</f>
        <v>53.75</v>
      </c>
      <c r="G56" s="2">
        <f>Table1[[#This Row],[المستهدف - الأسبوعي]]/6</f>
        <v>8.9583333333333339</v>
      </c>
    </row>
    <row r="57" spans="1:7" ht="15.95" customHeight="1" x14ac:dyDescent="0.25">
      <c r="A57" s="5" t="s">
        <v>60</v>
      </c>
      <c r="B57" s="7">
        <v>502</v>
      </c>
      <c r="C57" s="7">
        <v>230</v>
      </c>
      <c r="D57" s="2">
        <f>Table1[[#This Row],[المستهدف]]-Table1[[#This Row],[ المنفذ]]</f>
        <v>272</v>
      </c>
      <c r="E57" s="10">
        <f t="shared" si="0"/>
        <v>0.45816733067729082</v>
      </c>
      <c r="F57" s="2">
        <f>Table1[[#This Row],[المتبقى]]/4</f>
        <v>68</v>
      </c>
      <c r="G57" s="2">
        <f>Table1[[#This Row],[المستهدف - الأسبوعي]]/6</f>
        <v>11.333333333333334</v>
      </c>
    </row>
    <row r="58" spans="1:7" ht="15.95" customHeight="1" x14ac:dyDescent="0.25">
      <c r="A58" s="6" t="s">
        <v>61</v>
      </c>
      <c r="B58" s="7">
        <v>365</v>
      </c>
      <c r="C58" s="7">
        <v>218</v>
      </c>
      <c r="D58" s="2">
        <f>Table1[[#This Row],[المستهدف]]-Table1[[#This Row],[ المنفذ]]</f>
        <v>147</v>
      </c>
      <c r="E58" s="10">
        <f t="shared" si="0"/>
        <v>0.59726027397260273</v>
      </c>
      <c r="F58" s="2">
        <f>Table1[[#This Row],[المتبقى]]/4</f>
        <v>36.75</v>
      </c>
      <c r="G58" s="2">
        <f>Table1[[#This Row],[المستهدف - الأسبوعي]]/6</f>
        <v>6.125</v>
      </c>
    </row>
    <row r="59" spans="1:7" ht="15.95" customHeight="1" x14ac:dyDescent="0.25">
      <c r="A59" s="5" t="s">
        <v>62</v>
      </c>
      <c r="B59" s="7">
        <v>155</v>
      </c>
      <c r="C59" s="7">
        <v>118</v>
      </c>
      <c r="D59" s="2">
        <f>Table1[[#This Row],[المستهدف]]-Table1[[#This Row],[ المنفذ]]</f>
        <v>37</v>
      </c>
      <c r="E59" s="10">
        <f t="shared" si="0"/>
        <v>0.76129032258064511</v>
      </c>
      <c r="F59" s="2">
        <f>Table1[[#This Row],[المتبقى]]/4</f>
        <v>9.25</v>
      </c>
      <c r="G59" s="2">
        <f>Table1[[#This Row],[المستهدف - الأسبوعي]]/6</f>
        <v>1.5416666666666667</v>
      </c>
    </row>
    <row r="60" spans="1:7" ht="15.95" customHeight="1" x14ac:dyDescent="0.25">
      <c r="A60" s="4" t="s">
        <v>67</v>
      </c>
      <c r="B60" s="12">
        <f>SUBTOTAL(109,B43:B59)</f>
        <v>5952</v>
      </c>
      <c r="C60" s="12">
        <f>SUBTOTAL(109,C43:C59)</f>
        <v>2855</v>
      </c>
      <c r="D60" s="12">
        <f>SUBTOTAL(109,D43:D59)</f>
        <v>3097</v>
      </c>
      <c r="E60" s="14">
        <f t="shared" si="0"/>
        <v>0.47967069892473119</v>
      </c>
      <c r="F60" s="12">
        <f>SUBTOTAL(109,F43:F59)</f>
        <v>774.25</v>
      </c>
      <c r="G60" s="12">
        <f>SUBTOTAL(109,G43:G59)</f>
        <v>129.04166666666666</v>
      </c>
    </row>
    <row r="61" spans="1:7" ht="15.95" customHeight="1" x14ac:dyDescent="0.25">
      <c r="A61" s="13" t="s">
        <v>45</v>
      </c>
      <c r="B61" s="8">
        <f>B16+B28+B42+Table1[[#Totals],[المستهدف]]</f>
        <v>19931</v>
      </c>
      <c r="C61" s="8">
        <f>C16+C28+C42+Table1[[#Totals],[المستهدف]]</f>
        <v>11198</v>
      </c>
      <c r="D61" s="8">
        <f>D16+D28+D42+Table1[[#Totals],[المتبقى]]</f>
        <v>11830</v>
      </c>
      <c r="E61" s="15">
        <f t="shared" si="0"/>
        <v>0.56183834228086904</v>
      </c>
      <c r="F61" s="8">
        <f>F16+F28+F42+Table1[[#Totals],[المستهدف]]</f>
        <v>8135.25</v>
      </c>
      <c r="G61" s="8">
        <f>G16+G28+G42+Table1[[#Totals],[المستهدف]]</f>
        <v>6315.875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14C8-337F-42AE-854D-D8379D731C2E}">
  <dimension ref="A1:G17"/>
  <sheetViews>
    <sheetView rightToLeft="1" view="pageBreakPreview" zoomScale="60" zoomScaleNormal="100" workbookViewId="0">
      <selection sqref="A1:XFD1048576"/>
    </sheetView>
  </sheetViews>
  <sheetFormatPr defaultColWidth="27.7109375" defaultRowHeight="15" x14ac:dyDescent="0.25"/>
  <cols>
    <col min="1" max="1" width="49.5703125" bestFit="1" customWidth="1"/>
    <col min="2" max="2" width="13" bestFit="1" customWidth="1"/>
    <col min="3" max="3" width="9.140625" bestFit="1" customWidth="1"/>
    <col min="4" max="4" width="9.5703125" bestFit="1" customWidth="1"/>
    <col min="5" max="5" width="13.42578125" bestFit="1" customWidth="1"/>
    <col min="6" max="6" width="27.7109375" bestFit="1" customWidth="1"/>
    <col min="7" max="7" width="22" bestFit="1" customWidth="1"/>
  </cols>
  <sheetData>
    <row r="1" spans="1:7" ht="23.25" x14ac:dyDescent="0.25">
      <c r="A1" s="25" t="s">
        <v>31</v>
      </c>
      <c r="B1" s="25"/>
      <c r="C1" s="25"/>
      <c r="D1" s="25"/>
      <c r="E1" s="25"/>
      <c r="F1" s="25"/>
      <c r="G1" s="25"/>
    </row>
    <row r="2" spans="1:7" ht="23.25" x14ac:dyDescent="0.25">
      <c r="A2" s="16" t="s">
        <v>64</v>
      </c>
      <c r="B2" s="16" t="s">
        <v>0</v>
      </c>
      <c r="C2" s="16" t="s">
        <v>16</v>
      </c>
      <c r="D2" s="16" t="s">
        <v>1</v>
      </c>
      <c r="E2" s="16" t="s">
        <v>2</v>
      </c>
      <c r="F2" s="16" t="s">
        <v>3</v>
      </c>
      <c r="G2" s="16" t="s">
        <v>4</v>
      </c>
    </row>
    <row r="3" spans="1:7" ht="23.25" x14ac:dyDescent="0.25">
      <c r="A3" s="17" t="s">
        <v>17</v>
      </c>
      <c r="B3" s="18">
        <v>193</v>
      </c>
      <c r="C3" s="18">
        <v>143</v>
      </c>
      <c r="D3" s="19">
        <f>B3-C3</f>
        <v>50</v>
      </c>
      <c r="E3" s="20">
        <f>(C3/B3)</f>
        <v>0.7409326424870466</v>
      </c>
      <c r="F3" s="19">
        <f>D3/4</f>
        <v>12.5</v>
      </c>
      <c r="G3" s="19">
        <f>F3/6</f>
        <v>2.0833333333333335</v>
      </c>
    </row>
    <row r="4" spans="1:7" ht="23.25" x14ac:dyDescent="0.25">
      <c r="A4" s="17" t="s">
        <v>18</v>
      </c>
      <c r="B4" s="19">
        <v>324</v>
      </c>
      <c r="C4" s="18">
        <v>236</v>
      </c>
      <c r="D4" s="19">
        <f t="shared" ref="D4:D16" si="0">B4-C4</f>
        <v>88</v>
      </c>
      <c r="E4" s="20">
        <f t="shared" ref="E4:E17" si="1">(C4/B4)</f>
        <v>0.72839506172839508</v>
      </c>
      <c r="F4" s="19">
        <f t="shared" ref="F4:F16" si="2">D4/4</f>
        <v>22</v>
      </c>
      <c r="G4" s="19">
        <f t="shared" ref="G4:G16" si="3">F4/6</f>
        <v>3.6666666666666665</v>
      </c>
    </row>
    <row r="5" spans="1:7" ht="23.25" x14ac:dyDescent="0.25">
      <c r="A5" s="17" t="s">
        <v>19</v>
      </c>
      <c r="B5" s="18">
        <v>271</v>
      </c>
      <c r="C5" s="18">
        <v>265</v>
      </c>
      <c r="D5" s="19">
        <f t="shared" si="0"/>
        <v>6</v>
      </c>
      <c r="E5" s="20">
        <f t="shared" si="1"/>
        <v>0.97785977859778594</v>
      </c>
      <c r="F5" s="19">
        <f t="shared" si="2"/>
        <v>1.5</v>
      </c>
      <c r="G5" s="19">
        <f t="shared" si="3"/>
        <v>0.25</v>
      </c>
    </row>
    <row r="6" spans="1:7" ht="23.25" x14ac:dyDescent="0.25">
      <c r="A6" s="17" t="s">
        <v>20</v>
      </c>
      <c r="B6" s="19">
        <v>240</v>
      </c>
      <c r="C6" s="18">
        <v>94</v>
      </c>
      <c r="D6" s="19">
        <f t="shared" si="0"/>
        <v>146</v>
      </c>
      <c r="E6" s="20">
        <f t="shared" si="1"/>
        <v>0.39166666666666666</v>
      </c>
      <c r="F6" s="19">
        <f t="shared" si="2"/>
        <v>36.5</v>
      </c>
      <c r="G6" s="19">
        <f t="shared" si="3"/>
        <v>6.083333333333333</v>
      </c>
    </row>
    <row r="7" spans="1:7" ht="23.25" x14ac:dyDescent="0.25">
      <c r="A7" s="17" t="s">
        <v>21</v>
      </c>
      <c r="B7" s="18">
        <v>421</v>
      </c>
      <c r="C7" s="18">
        <v>246</v>
      </c>
      <c r="D7" s="19">
        <f t="shared" si="0"/>
        <v>175</v>
      </c>
      <c r="E7" s="20">
        <f t="shared" si="1"/>
        <v>0.58432304038004745</v>
      </c>
      <c r="F7" s="19">
        <f t="shared" si="2"/>
        <v>43.75</v>
      </c>
      <c r="G7" s="19">
        <f t="shared" si="3"/>
        <v>7.291666666666667</v>
      </c>
    </row>
    <row r="8" spans="1:7" ht="23.25" x14ac:dyDescent="0.25">
      <c r="A8" s="17" t="s">
        <v>22</v>
      </c>
      <c r="B8" s="19">
        <v>223</v>
      </c>
      <c r="C8" s="18">
        <v>197</v>
      </c>
      <c r="D8" s="19">
        <f t="shared" si="0"/>
        <v>26</v>
      </c>
      <c r="E8" s="20">
        <f t="shared" si="1"/>
        <v>0.88340807174887892</v>
      </c>
      <c r="F8" s="19">
        <f t="shared" si="2"/>
        <v>6.5</v>
      </c>
      <c r="G8" s="19">
        <f t="shared" si="3"/>
        <v>1.0833333333333333</v>
      </c>
    </row>
    <row r="9" spans="1:7" ht="23.25" x14ac:dyDescent="0.25">
      <c r="A9" s="17" t="s">
        <v>23</v>
      </c>
      <c r="B9" s="18">
        <v>364</v>
      </c>
      <c r="C9" s="18">
        <v>115</v>
      </c>
      <c r="D9" s="19">
        <f t="shared" si="0"/>
        <v>249</v>
      </c>
      <c r="E9" s="20">
        <f t="shared" si="1"/>
        <v>0.31593406593406592</v>
      </c>
      <c r="F9" s="19">
        <f t="shared" si="2"/>
        <v>62.25</v>
      </c>
      <c r="G9" s="19">
        <f t="shared" si="3"/>
        <v>10.375</v>
      </c>
    </row>
    <row r="10" spans="1:7" ht="23.25" x14ac:dyDescent="0.25">
      <c r="A10" s="17" t="s">
        <v>24</v>
      </c>
      <c r="B10" s="19">
        <v>254</v>
      </c>
      <c r="C10" s="18">
        <v>214</v>
      </c>
      <c r="D10" s="19">
        <f t="shared" si="0"/>
        <v>40</v>
      </c>
      <c r="E10" s="20">
        <f t="shared" si="1"/>
        <v>0.84251968503937003</v>
      </c>
      <c r="F10" s="19">
        <f t="shared" si="2"/>
        <v>10</v>
      </c>
      <c r="G10" s="19">
        <f t="shared" si="3"/>
        <v>1.6666666666666667</v>
      </c>
    </row>
    <row r="11" spans="1:7" ht="23.25" x14ac:dyDescent="0.25">
      <c r="A11" s="17" t="s">
        <v>25</v>
      </c>
      <c r="B11" s="18">
        <v>308</v>
      </c>
      <c r="C11" s="18">
        <v>232</v>
      </c>
      <c r="D11" s="19">
        <f t="shared" si="0"/>
        <v>76</v>
      </c>
      <c r="E11" s="20">
        <f t="shared" si="1"/>
        <v>0.75324675324675328</v>
      </c>
      <c r="F11" s="19">
        <f t="shared" si="2"/>
        <v>19</v>
      </c>
      <c r="G11" s="19">
        <f t="shared" si="3"/>
        <v>3.1666666666666665</v>
      </c>
    </row>
    <row r="12" spans="1:7" ht="23.25" x14ac:dyDescent="0.25">
      <c r="A12" s="17" t="s">
        <v>26</v>
      </c>
      <c r="B12" s="19">
        <v>230</v>
      </c>
      <c r="C12" s="18">
        <v>195</v>
      </c>
      <c r="D12" s="19">
        <f t="shared" si="0"/>
        <v>35</v>
      </c>
      <c r="E12" s="20">
        <f t="shared" si="1"/>
        <v>0.84782608695652173</v>
      </c>
      <c r="F12" s="19">
        <f t="shared" si="2"/>
        <v>8.75</v>
      </c>
      <c r="G12" s="19">
        <f t="shared" si="3"/>
        <v>1.4583333333333333</v>
      </c>
    </row>
    <row r="13" spans="1:7" ht="23.25" x14ac:dyDescent="0.25">
      <c r="A13" s="17" t="s">
        <v>27</v>
      </c>
      <c r="B13" s="18">
        <v>260</v>
      </c>
      <c r="C13" s="18">
        <v>218</v>
      </c>
      <c r="D13" s="19">
        <f t="shared" si="0"/>
        <v>42</v>
      </c>
      <c r="E13" s="20">
        <f t="shared" si="1"/>
        <v>0.83846153846153848</v>
      </c>
      <c r="F13" s="19">
        <f t="shared" si="2"/>
        <v>10.5</v>
      </c>
      <c r="G13" s="19">
        <f t="shared" si="3"/>
        <v>1.75</v>
      </c>
    </row>
    <row r="14" spans="1:7" ht="23.25" x14ac:dyDescent="0.25">
      <c r="A14" s="17" t="s">
        <v>28</v>
      </c>
      <c r="B14" s="19">
        <v>296</v>
      </c>
      <c r="C14" s="18">
        <v>217</v>
      </c>
      <c r="D14" s="19">
        <f t="shared" si="0"/>
        <v>79</v>
      </c>
      <c r="E14" s="20">
        <f t="shared" si="1"/>
        <v>0.73310810810810811</v>
      </c>
      <c r="F14" s="19">
        <f t="shared" si="2"/>
        <v>19.75</v>
      </c>
      <c r="G14" s="19">
        <f t="shared" si="3"/>
        <v>3.2916666666666665</v>
      </c>
    </row>
    <row r="15" spans="1:7" ht="23.25" x14ac:dyDescent="0.25">
      <c r="A15" s="17" t="s">
        <v>29</v>
      </c>
      <c r="B15" s="18">
        <v>119</v>
      </c>
      <c r="C15" s="18">
        <v>111</v>
      </c>
      <c r="D15" s="19">
        <f t="shared" si="0"/>
        <v>8</v>
      </c>
      <c r="E15" s="20">
        <f t="shared" si="1"/>
        <v>0.9327731092436975</v>
      </c>
      <c r="F15" s="19">
        <f t="shared" si="2"/>
        <v>2</v>
      </c>
      <c r="G15" s="19">
        <f t="shared" si="3"/>
        <v>0.33333333333333331</v>
      </c>
    </row>
    <row r="16" spans="1:7" ht="23.25" x14ac:dyDescent="0.25">
      <c r="A16" s="17" t="s">
        <v>30</v>
      </c>
      <c r="B16" s="19">
        <v>297</v>
      </c>
      <c r="C16" s="18">
        <v>178</v>
      </c>
      <c r="D16" s="19">
        <f t="shared" si="0"/>
        <v>119</v>
      </c>
      <c r="E16" s="20">
        <f t="shared" si="1"/>
        <v>0.59932659932659937</v>
      </c>
      <c r="F16" s="19">
        <f t="shared" si="2"/>
        <v>29.75</v>
      </c>
      <c r="G16" s="19">
        <f t="shared" si="3"/>
        <v>4.958333333333333</v>
      </c>
    </row>
    <row r="17" spans="1:7" ht="23.25" x14ac:dyDescent="0.25">
      <c r="A17" s="21" t="s">
        <v>45</v>
      </c>
      <c r="B17" s="22">
        <f>SUBTOTAL(109,B3:B16)</f>
        <v>3800</v>
      </c>
      <c r="C17" s="22">
        <f t="shared" ref="C17:G17" si="4">SUBTOTAL(109,C3:C16)</f>
        <v>2661</v>
      </c>
      <c r="D17" s="22">
        <f t="shared" si="4"/>
        <v>1139</v>
      </c>
      <c r="E17" s="23">
        <f t="shared" si="1"/>
        <v>0.70026315789473681</v>
      </c>
      <c r="F17" s="22">
        <f t="shared" si="4"/>
        <v>284.75</v>
      </c>
      <c r="G17" s="22">
        <f t="shared" si="4"/>
        <v>47.458333333333336</v>
      </c>
    </row>
  </sheetData>
  <mergeCells count="1">
    <mergeCell ref="A1:G1"/>
  </mergeCells>
  <printOptions horizontalCentered="1" verticalCentered="1"/>
  <pageMargins left="0.16" right="0.16" top="0.74803149606299213" bottom="0.74803149606299213" header="0.31496062992125984" footer="0.31496062992125984"/>
  <pageSetup scale="94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C246-7BAE-4C4E-AE76-DB5BEA993354}">
  <dimension ref="A1:G16"/>
  <sheetViews>
    <sheetView rightToLeft="1" view="pageBreakPreview" zoomScale="60" zoomScaleNormal="100" workbookViewId="0">
      <selection activeCell="D16" sqref="D16"/>
    </sheetView>
  </sheetViews>
  <sheetFormatPr defaultRowHeight="15" x14ac:dyDescent="0.25"/>
  <cols>
    <col min="1" max="1" width="50.7109375" bestFit="1" customWidth="1"/>
    <col min="2" max="2" width="13" bestFit="1" customWidth="1"/>
    <col min="3" max="3" width="9.140625" bestFit="1" customWidth="1"/>
    <col min="4" max="4" width="9.5703125" bestFit="1" customWidth="1"/>
    <col min="5" max="5" width="13.42578125" bestFit="1" customWidth="1"/>
    <col min="6" max="6" width="27.7109375" bestFit="1" customWidth="1"/>
    <col min="7" max="7" width="22" bestFit="1" customWidth="1"/>
  </cols>
  <sheetData>
    <row r="1" spans="1:7" ht="23.25" x14ac:dyDescent="0.25">
      <c r="A1" s="25" t="s">
        <v>31</v>
      </c>
      <c r="B1" s="25"/>
      <c r="C1" s="25"/>
      <c r="D1" s="25"/>
      <c r="E1" s="25"/>
      <c r="F1" s="25"/>
      <c r="G1" s="25"/>
    </row>
    <row r="2" spans="1:7" ht="23.25" x14ac:dyDescent="0.25">
      <c r="A2" s="16" t="s">
        <v>66</v>
      </c>
      <c r="B2" s="16" t="s">
        <v>0</v>
      </c>
      <c r="C2" s="16" t="s">
        <v>16</v>
      </c>
      <c r="D2" s="16" t="s">
        <v>1</v>
      </c>
      <c r="E2" s="16" t="s">
        <v>2</v>
      </c>
      <c r="F2" s="16" t="s">
        <v>3</v>
      </c>
      <c r="G2" s="16" t="s">
        <v>4</v>
      </c>
    </row>
    <row r="3" spans="1:7" ht="23.25" x14ac:dyDescent="0.25">
      <c r="A3" s="17" t="s">
        <v>32</v>
      </c>
      <c r="B3" s="19">
        <v>707</v>
      </c>
      <c r="C3" s="19">
        <v>460</v>
      </c>
      <c r="D3" s="19">
        <f>B3-C3</f>
        <v>247</v>
      </c>
      <c r="E3" s="20">
        <f>(C3/B3)</f>
        <v>0.65063649222065068</v>
      </c>
      <c r="F3" s="19">
        <f>D3/4</f>
        <v>61.75</v>
      </c>
      <c r="G3" s="19">
        <f>F3/6</f>
        <v>10.291666666666666</v>
      </c>
    </row>
    <row r="4" spans="1:7" ht="23.25" x14ac:dyDescent="0.25">
      <c r="A4" s="17" t="s">
        <v>33</v>
      </c>
      <c r="B4" s="18">
        <v>880</v>
      </c>
      <c r="C4" s="19">
        <v>168</v>
      </c>
      <c r="D4" s="19">
        <f t="shared" ref="D4:D15" si="0">B4-C4</f>
        <v>712</v>
      </c>
      <c r="E4" s="20">
        <f t="shared" ref="E4:E16" si="1">(C4/B4)</f>
        <v>0.19090909090909092</v>
      </c>
      <c r="F4" s="19">
        <f t="shared" ref="F4:F15" si="2">D4/4</f>
        <v>178</v>
      </c>
      <c r="G4" s="19">
        <f t="shared" ref="G4:G15" si="3">F4/6</f>
        <v>29.666666666666668</v>
      </c>
    </row>
    <row r="5" spans="1:7" ht="23.25" x14ac:dyDescent="0.25">
      <c r="A5" s="17" t="s">
        <v>34</v>
      </c>
      <c r="B5" s="19">
        <v>637</v>
      </c>
      <c r="C5" s="19">
        <v>146</v>
      </c>
      <c r="D5" s="19">
        <f t="shared" si="0"/>
        <v>491</v>
      </c>
      <c r="E5" s="20">
        <f t="shared" si="1"/>
        <v>0.22919937205651492</v>
      </c>
      <c r="F5" s="19">
        <f t="shared" si="2"/>
        <v>122.75</v>
      </c>
      <c r="G5" s="19">
        <f t="shared" si="3"/>
        <v>20.458333333333332</v>
      </c>
    </row>
    <row r="6" spans="1:7" ht="23.25" x14ac:dyDescent="0.25">
      <c r="A6" s="17" t="s">
        <v>35</v>
      </c>
      <c r="B6" s="18">
        <v>371</v>
      </c>
      <c r="C6" s="19">
        <v>168</v>
      </c>
      <c r="D6" s="19">
        <f t="shared" si="0"/>
        <v>203</v>
      </c>
      <c r="E6" s="20">
        <f t="shared" si="1"/>
        <v>0.45283018867924529</v>
      </c>
      <c r="F6" s="19">
        <f t="shared" si="2"/>
        <v>50.75</v>
      </c>
      <c r="G6" s="19">
        <f t="shared" si="3"/>
        <v>8.4583333333333339</v>
      </c>
    </row>
    <row r="7" spans="1:7" ht="23.25" x14ac:dyDescent="0.25">
      <c r="A7" s="17" t="s">
        <v>36</v>
      </c>
      <c r="B7" s="19">
        <v>497</v>
      </c>
      <c r="C7" s="19">
        <v>189</v>
      </c>
      <c r="D7" s="19">
        <f t="shared" si="0"/>
        <v>308</v>
      </c>
      <c r="E7" s="20">
        <f t="shared" si="1"/>
        <v>0.38028169014084506</v>
      </c>
      <c r="F7" s="19">
        <f t="shared" si="2"/>
        <v>77</v>
      </c>
      <c r="G7" s="19">
        <f t="shared" si="3"/>
        <v>12.833333333333334</v>
      </c>
    </row>
    <row r="8" spans="1:7" ht="23.25" x14ac:dyDescent="0.25">
      <c r="A8" s="17" t="s">
        <v>37</v>
      </c>
      <c r="B8" s="18">
        <v>387</v>
      </c>
      <c r="C8" s="19">
        <v>133</v>
      </c>
      <c r="D8" s="19">
        <f t="shared" si="0"/>
        <v>254</v>
      </c>
      <c r="E8" s="20">
        <f t="shared" si="1"/>
        <v>0.34366925064599485</v>
      </c>
      <c r="F8" s="19">
        <f t="shared" si="2"/>
        <v>63.5</v>
      </c>
      <c r="G8" s="19">
        <f t="shared" si="3"/>
        <v>10.583333333333334</v>
      </c>
    </row>
    <row r="9" spans="1:7" ht="23.25" x14ac:dyDescent="0.25">
      <c r="A9" s="17" t="s">
        <v>38</v>
      </c>
      <c r="B9" s="19">
        <v>760</v>
      </c>
      <c r="C9" s="19">
        <v>407</v>
      </c>
      <c r="D9" s="19">
        <f t="shared" si="0"/>
        <v>353</v>
      </c>
      <c r="E9" s="20">
        <f t="shared" si="1"/>
        <v>0.53552631578947374</v>
      </c>
      <c r="F9" s="19">
        <f t="shared" si="2"/>
        <v>88.25</v>
      </c>
      <c r="G9" s="19">
        <f t="shared" si="3"/>
        <v>14.708333333333334</v>
      </c>
    </row>
    <row r="10" spans="1:7" ht="23.25" x14ac:dyDescent="0.25">
      <c r="A10" s="17" t="s">
        <v>39</v>
      </c>
      <c r="B10" s="18">
        <v>139</v>
      </c>
      <c r="C10" s="19">
        <v>86</v>
      </c>
      <c r="D10" s="19">
        <f t="shared" si="0"/>
        <v>53</v>
      </c>
      <c r="E10" s="20">
        <f t="shared" si="1"/>
        <v>0.61870503597122306</v>
      </c>
      <c r="F10" s="19">
        <f t="shared" si="2"/>
        <v>13.25</v>
      </c>
      <c r="G10" s="19">
        <f t="shared" si="3"/>
        <v>2.2083333333333335</v>
      </c>
    </row>
    <row r="11" spans="1:7" ht="23.25" x14ac:dyDescent="0.25">
      <c r="A11" s="17" t="s">
        <v>40</v>
      </c>
      <c r="B11" s="19">
        <v>571</v>
      </c>
      <c r="C11" s="19">
        <v>118</v>
      </c>
      <c r="D11" s="19">
        <f t="shared" si="0"/>
        <v>453</v>
      </c>
      <c r="E11" s="20">
        <f t="shared" si="1"/>
        <v>0.20665499124343256</v>
      </c>
      <c r="F11" s="19">
        <f t="shared" si="2"/>
        <v>113.25</v>
      </c>
      <c r="G11" s="19">
        <f t="shared" si="3"/>
        <v>18.875</v>
      </c>
    </row>
    <row r="12" spans="1:7" ht="23.25" x14ac:dyDescent="0.25">
      <c r="A12" s="17" t="s">
        <v>41</v>
      </c>
      <c r="B12" s="18">
        <v>275</v>
      </c>
      <c r="C12" s="19">
        <v>97</v>
      </c>
      <c r="D12" s="19">
        <f t="shared" si="0"/>
        <v>178</v>
      </c>
      <c r="E12" s="20">
        <f t="shared" si="1"/>
        <v>0.35272727272727272</v>
      </c>
      <c r="F12" s="19">
        <f t="shared" si="2"/>
        <v>44.5</v>
      </c>
      <c r="G12" s="19">
        <f t="shared" si="3"/>
        <v>7.416666666666667</v>
      </c>
    </row>
    <row r="13" spans="1:7" ht="23.25" x14ac:dyDescent="0.25">
      <c r="A13" s="17" t="s">
        <v>42</v>
      </c>
      <c r="B13" s="19">
        <v>339</v>
      </c>
      <c r="C13" s="19">
        <v>56</v>
      </c>
      <c r="D13" s="19">
        <f t="shared" si="0"/>
        <v>283</v>
      </c>
      <c r="E13" s="20">
        <f t="shared" si="1"/>
        <v>0.16519174041297935</v>
      </c>
      <c r="F13" s="19">
        <f t="shared" si="2"/>
        <v>70.75</v>
      </c>
      <c r="G13" s="19">
        <f t="shared" si="3"/>
        <v>11.791666666666666</v>
      </c>
    </row>
    <row r="14" spans="1:7" ht="23.25" x14ac:dyDescent="0.25">
      <c r="A14" s="17" t="s">
        <v>43</v>
      </c>
      <c r="B14" s="18">
        <v>475</v>
      </c>
      <c r="C14" s="19">
        <v>200</v>
      </c>
      <c r="D14" s="19">
        <f t="shared" si="0"/>
        <v>275</v>
      </c>
      <c r="E14" s="20">
        <f t="shared" si="1"/>
        <v>0.42105263157894735</v>
      </c>
      <c r="F14" s="19">
        <f t="shared" si="2"/>
        <v>68.75</v>
      </c>
      <c r="G14" s="19">
        <f t="shared" si="3"/>
        <v>11.458333333333334</v>
      </c>
    </row>
    <row r="15" spans="1:7" ht="23.25" x14ac:dyDescent="0.25">
      <c r="A15" s="17" t="s">
        <v>44</v>
      </c>
      <c r="B15" s="19">
        <v>345</v>
      </c>
      <c r="C15" s="19">
        <v>179</v>
      </c>
      <c r="D15" s="19">
        <f t="shared" si="0"/>
        <v>166</v>
      </c>
      <c r="E15" s="20">
        <f t="shared" si="1"/>
        <v>0.51884057971014497</v>
      </c>
      <c r="F15" s="19">
        <f t="shared" si="2"/>
        <v>41.5</v>
      </c>
      <c r="G15" s="19">
        <f t="shared" si="3"/>
        <v>6.916666666666667</v>
      </c>
    </row>
    <row r="16" spans="1:7" ht="23.25" x14ac:dyDescent="0.25">
      <c r="A16" s="21" t="s">
        <v>45</v>
      </c>
      <c r="B16" s="22">
        <f>SUBTOTAL(109,B3:B15)</f>
        <v>6383</v>
      </c>
      <c r="C16" s="22">
        <f>SUBTOTAL(109,C3:C15)</f>
        <v>2407</v>
      </c>
      <c r="D16" s="22">
        <f t="shared" ref="D16:G16" si="4">SUBTOTAL(109,D3:D15)</f>
        <v>3976</v>
      </c>
      <c r="E16" s="23">
        <f t="shared" si="1"/>
        <v>0.37709540968196775</v>
      </c>
      <c r="F16" s="22">
        <f t="shared" si="4"/>
        <v>994</v>
      </c>
      <c r="G16" s="22">
        <f t="shared" si="4"/>
        <v>165.66666666666663</v>
      </c>
    </row>
  </sheetData>
  <mergeCells count="1">
    <mergeCell ref="A1:G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2D42-D028-4286-9D82-896C921F6929}">
  <dimension ref="A1:G14"/>
  <sheetViews>
    <sheetView rightToLeft="1" view="pageBreakPreview" zoomScale="60" zoomScaleNormal="100" workbookViewId="0">
      <selection sqref="A1:XFD1048576"/>
    </sheetView>
  </sheetViews>
  <sheetFormatPr defaultRowHeight="15" x14ac:dyDescent="0.25"/>
  <cols>
    <col min="1" max="1" width="49.140625" bestFit="1" customWidth="1"/>
    <col min="2" max="2" width="13" bestFit="1" customWidth="1"/>
    <col min="3" max="3" width="8.85546875" bestFit="1" customWidth="1"/>
    <col min="4" max="4" width="9.5703125" bestFit="1" customWidth="1"/>
    <col min="5" max="5" width="13.42578125" bestFit="1" customWidth="1"/>
    <col min="6" max="6" width="27.7109375" bestFit="1" customWidth="1"/>
    <col min="7" max="7" width="22" bestFit="1" customWidth="1"/>
  </cols>
  <sheetData>
    <row r="1" spans="1:7" ht="23.25" x14ac:dyDescent="0.25">
      <c r="A1" s="25" t="s">
        <v>31</v>
      </c>
      <c r="B1" s="25"/>
      <c r="C1" s="25"/>
      <c r="D1" s="25"/>
      <c r="E1" s="25"/>
      <c r="F1" s="25"/>
      <c r="G1" s="25"/>
    </row>
    <row r="2" spans="1:7" ht="23.25" x14ac:dyDescent="0.25">
      <c r="A2" s="16" t="s">
        <v>65</v>
      </c>
      <c r="B2" s="16" t="s">
        <v>0</v>
      </c>
      <c r="C2" s="16" t="s">
        <v>16</v>
      </c>
      <c r="D2" s="16" t="s">
        <v>1</v>
      </c>
      <c r="E2" s="16" t="s">
        <v>2</v>
      </c>
      <c r="F2" s="16" t="s">
        <v>3</v>
      </c>
      <c r="G2" s="16" t="s">
        <v>4</v>
      </c>
    </row>
    <row r="3" spans="1:7" ht="23.25" x14ac:dyDescent="0.25">
      <c r="A3" s="17" t="s">
        <v>5</v>
      </c>
      <c r="B3" s="19">
        <v>310</v>
      </c>
      <c r="C3" s="19">
        <v>15</v>
      </c>
      <c r="D3" s="19">
        <f>B3-C3</f>
        <v>295</v>
      </c>
      <c r="E3" s="20">
        <f>(C3/B3)</f>
        <v>4.8387096774193547E-2</v>
      </c>
      <c r="F3" s="19">
        <f>D3/4</f>
        <v>73.75</v>
      </c>
      <c r="G3" s="19">
        <f>F3/6</f>
        <v>12.291666666666666</v>
      </c>
    </row>
    <row r="4" spans="1:7" ht="23.25" x14ac:dyDescent="0.25">
      <c r="A4" s="17" t="s">
        <v>6</v>
      </c>
      <c r="B4" s="18">
        <v>535</v>
      </c>
      <c r="C4" s="19">
        <v>87</v>
      </c>
      <c r="D4" s="19">
        <f t="shared" ref="D4:D13" si="0">B4-C4</f>
        <v>448</v>
      </c>
      <c r="E4" s="20">
        <f t="shared" ref="E4:E14" si="1">(C4/B4)</f>
        <v>0.16261682242990655</v>
      </c>
      <c r="F4" s="19">
        <f t="shared" ref="F4:F13" si="2">D4/4</f>
        <v>112</v>
      </c>
      <c r="G4" s="19">
        <f t="shared" ref="G4:G13" si="3">F4/6</f>
        <v>18.666666666666668</v>
      </c>
    </row>
    <row r="5" spans="1:7" ht="23.25" x14ac:dyDescent="0.25">
      <c r="A5" s="17" t="s">
        <v>7</v>
      </c>
      <c r="B5" s="19">
        <v>250</v>
      </c>
      <c r="C5" s="19">
        <v>9</v>
      </c>
      <c r="D5" s="19">
        <f t="shared" si="0"/>
        <v>241</v>
      </c>
      <c r="E5" s="20">
        <f t="shared" si="1"/>
        <v>3.5999999999999997E-2</v>
      </c>
      <c r="F5" s="19">
        <f t="shared" si="2"/>
        <v>60.25</v>
      </c>
      <c r="G5" s="19">
        <f t="shared" si="3"/>
        <v>10.041666666666666</v>
      </c>
    </row>
    <row r="6" spans="1:7" ht="23.25" x14ac:dyDescent="0.25">
      <c r="A6" s="17" t="s">
        <v>8</v>
      </c>
      <c r="B6" s="18">
        <v>95</v>
      </c>
      <c r="C6" s="19">
        <v>10</v>
      </c>
      <c r="D6" s="19">
        <f t="shared" si="0"/>
        <v>85</v>
      </c>
      <c r="E6" s="20">
        <f t="shared" si="1"/>
        <v>0.10526315789473684</v>
      </c>
      <c r="F6" s="19">
        <f t="shared" si="2"/>
        <v>21.25</v>
      </c>
      <c r="G6" s="19">
        <f t="shared" si="3"/>
        <v>3.5416666666666665</v>
      </c>
    </row>
    <row r="7" spans="1:7" ht="23.25" x14ac:dyDescent="0.25">
      <c r="A7" s="17" t="s">
        <v>9</v>
      </c>
      <c r="B7" s="19">
        <v>829</v>
      </c>
      <c r="C7" s="19">
        <v>1</v>
      </c>
      <c r="D7" s="19">
        <f t="shared" si="0"/>
        <v>828</v>
      </c>
      <c r="E7" s="20">
        <f t="shared" si="1"/>
        <v>1.2062726176115801E-3</v>
      </c>
      <c r="F7" s="19">
        <f t="shared" si="2"/>
        <v>207</v>
      </c>
      <c r="G7" s="19">
        <f t="shared" si="3"/>
        <v>34.5</v>
      </c>
    </row>
    <row r="8" spans="1:7" ht="23.25" x14ac:dyDescent="0.25">
      <c r="A8" s="17" t="s">
        <v>10</v>
      </c>
      <c r="B8" s="18">
        <v>232</v>
      </c>
      <c r="C8" s="19">
        <v>10</v>
      </c>
      <c r="D8" s="19">
        <f t="shared" si="0"/>
        <v>222</v>
      </c>
      <c r="E8" s="20">
        <f t="shared" si="1"/>
        <v>4.3103448275862072E-2</v>
      </c>
      <c r="F8" s="19">
        <f t="shared" si="2"/>
        <v>55.5</v>
      </c>
      <c r="G8" s="19">
        <f t="shared" si="3"/>
        <v>9.25</v>
      </c>
    </row>
    <row r="9" spans="1:7" ht="23.25" x14ac:dyDescent="0.25">
      <c r="A9" s="17" t="s">
        <v>11</v>
      </c>
      <c r="B9" s="19">
        <v>162</v>
      </c>
      <c r="C9" s="19">
        <v>0</v>
      </c>
      <c r="D9" s="19">
        <f t="shared" si="0"/>
        <v>162</v>
      </c>
      <c r="E9" s="20">
        <f t="shared" si="1"/>
        <v>0</v>
      </c>
      <c r="F9" s="19">
        <f t="shared" si="2"/>
        <v>40.5</v>
      </c>
      <c r="G9" s="19">
        <f t="shared" si="3"/>
        <v>6.75</v>
      </c>
    </row>
    <row r="10" spans="1:7" ht="23.25" x14ac:dyDescent="0.25">
      <c r="A10" s="17" t="s">
        <v>12</v>
      </c>
      <c r="B10" s="18">
        <v>434</v>
      </c>
      <c r="C10" s="19">
        <v>6</v>
      </c>
      <c r="D10" s="19">
        <f t="shared" si="0"/>
        <v>428</v>
      </c>
      <c r="E10" s="20">
        <f t="shared" si="1"/>
        <v>1.3824884792626729E-2</v>
      </c>
      <c r="F10" s="19">
        <f t="shared" si="2"/>
        <v>107</v>
      </c>
      <c r="G10" s="19">
        <f t="shared" si="3"/>
        <v>17.833333333333332</v>
      </c>
    </row>
    <row r="11" spans="1:7" ht="23.25" x14ac:dyDescent="0.25">
      <c r="A11" s="17" t="s">
        <v>13</v>
      </c>
      <c r="B11" s="19">
        <v>369</v>
      </c>
      <c r="C11" s="19">
        <v>16</v>
      </c>
      <c r="D11" s="19">
        <f t="shared" si="0"/>
        <v>353</v>
      </c>
      <c r="E11" s="20">
        <f t="shared" si="1"/>
        <v>4.3360433604336043E-2</v>
      </c>
      <c r="F11" s="19">
        <f t="shared" si="2"/>
        <v>88.25</v>
      </c>
      <c r="G11" s="19">
        <f t="shared" si="3"/>
        <v>14.708333333333334</v>
      </c>
    </row>
    <row r="12" spans="1:7" ht="23.25" x14ac:dyDescent="0.25">
      <c r="A12" s="17" t="s">
        <v>14</v>
      </c>
      <c r="B12" s="18">
        <v>281</v>
      </c>
      <c r="C12" s="19">
        <v>10</v>
      </c>
      <c r="D12" s="19">
        <f t="shared" si="0"/>
        <v>271</v>
      </c>
      <c r="E12" s="20">
        <f t="shared" si="1"/>
        <v>3.5587188612099648E-2</v>
      </c>
      <c r="F12" s="19">
        <f t="shared" si="2"/>
        <v>67.75</v>
      </c>
      <c r="G12" s="19">
        <f t="shared" si="3"/>
        <v>11.291666666666666</v>
      </c>
    </row>
    <row r="13" spans="1:7" ht="23.25" x14ac:dyDescent="0.25">
      <c r="A13" s="17" t="s">
        <v>15</v>
      </c>
      <c r="B13" s="19">
        <v>299</v>
      </c>
      <c r="C13" s="19">
        <v>14</v>
      </c>
      <c r="D13" s="19">
        <f t="shared" si="0"/>
        <v>285</v>
      </c>
      <c r="E13" s="20">
        <f t="shared" si="1"/>
        <v>4.6822742474916385E-2</v>
      </c>
      <c r="F13" s="19">
        <f t="shared" si="2"/>
        <v>71.25</v>
      </c>
      <c r="G13" s="19">
        <f t="shared" si="3"/>
        <v>11.875</v>
      </c>
    </row>
    <row r="14" spans="1:7" ht="23.25" x14ac:dyDescent="0.25">
      <c r="A14" s="21" t="s">
        <v>45</v>
      </c>
      <c r="B14" s="22">
        <f>SUBTOTAL(109,B3:B13)</f>
        <v>3796</v>
      </c>
      <c r="C14" s="22">
        <f t="shared" ref="C14:G14" si="4">SUBTOTAL(109,C3:C13)</f>
        <v>178</v>
      </c>
      <c r="D14" s="22">
        <f t="shared" si="4"/>
        <v>3618</v>
      </c>
      <c r="E14" s="23">
        <f t="shared" si="1"/>
        <v>4.6891464699683881E-2</v>
      </c>
      <c r="F14" s="22">
        <f t="shared" si="4"/>
        <v>904.5</v>
      </c>
      <c r="G14" s="22">
        <f t="shared" si="4"/>
        <v>150.74999999999997</v>
      </c>
    </row>
  </sheetData>
  <mergeCells count="1">
    <mergeCell ref="A1:G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5A4C-753C-42A7-9FAB-AA366C3E5138}">
  <dimension ref="A1:G20"/>
  <sheetViews>
    <sheetView rightToLeft="1" view="pageBreakPreview" zoomScale="60" zoomScaleNormal="100" workbookViewId="0">
      <selection sqref="A1:XFD1048576"/>
    </sheetView>
  </sheetViews>
  <sheetFormatPr defaultRowHeight="15" x14ac:dyDescent="0.25"/>
  <cols>
    <col min="1" max="1" width="52.5703125" bestFit="1" customWidth="1"/>
    <col min="2" max="2" width="13" bestFit="1" customWidth="1"/>
    <col min="3" max="3" width="9.140625" bestFit="1" customWidth="1"/>
    <col min="4" max="4" width="9.5703125" bestFit="1" customWidth="1"/>
    <col min="5" max="5" width="13.42578125" bestFit="1" customWidth="1"/>
    <col min="6" max="6" width="27.7109375" bestFit="1" customWidth="1"/>
    <col min="7" max="7" width="22" bestFit="1" customWidth="1"/>
  </cols>
  <sheetData>
    <row r="1" spans="1:7" ht="23.25" x14ac:dyDescent="0.25">
      <c r="A1" s="25" t="s">
        <v>31</v>
      </c>
      <c r="B1" s="25"/>
      <c r="C1" s="25"/>
      <c r="D1" s="25"/>
      <c r="E1" s="25"/>
      <c r="F1" s="25"/>
      <c r="G1" s="25"/>
    </row>
    <row r="2" spans="1:7" ht="23.25" x14ac:dyDescent="0.25">
      <c r="A2" s="16" t="s">
        <v>67</v>
      </c>
      <c r="B2" s="16" t="s">
        <v>0</v>
      </c>
      <c r="C2" s="16" t="s">
        <v>16</v>
      </c>
      <c r="D2" s="16" t="s">
        <v>1</v>
      </c>
      <c r="E2" s="16" t="s">
        <v>2</v>
      </c>
      <c r="F2" s="16" t="s">
        <v>3</v>
      </c>
      <c r="G2" s="16" t="s">
        <v>4</v>
      </c>
    </row>
    <row r="3" spans="1:7" ht="23.25" x14ac:dyDescent="0.25">
      <c r="A3" s="24" t="s">
        <v>46</v>
      </c>
      <c r="B3" s="19">
        <v>446</v>
      </c>
      <c r="C3" s="19">
        <v>194</v>
      </c>
      <c r="D3" s="19">
        <f>B3-C3</f>
        <v>252</v>
      </c>
      <c r="E3" s="20">
        <f>(C3/B3)</f>
        <v>0.4349775784753363</v>
      </c>
      <c r="F3" s="19">
        <f>D3/4</f>
        <v>63</v>
      </c>
      <c r="G3" s="19">
        <f>F3/6</f>
        <v>10.5</v>
      </c>
    </row>
    <row r="4" spans="1:7" ht="23.25" x14ac:dyDescent="0.25">
      <c r="A4" s="17" t="s">
        <v>47</v>
      </c>
      <c r="B4" s="18">
        <v>357</v>
      </c>
      <c r="C4" s="19">
        <v>155</v>
      </c>
      <c r="D4" s="19">
        <f t="shared" ref="D4:D19" si="0">B4-C4</f>
        <v>202</v>
      </c>
      <c r="E4" s="20">
        <f t="shared" ref="E4:E20" si="1">(C4/B4)</f>
        <v>0.43417366946778713</v>
      </c>
      <c r="F4" s="19">
        <f t="shared" ref="F4:F19" si="2">D4/4</f>
        <v>50.5</v>
      </c>
      <c r="G4" s="19">
        <f t="shared" ref="G4:G19" si="3">F4/6</f>
        <v>8.4166666666666661</v>
      </c>
    </row>
    <row r="5" spans="1:7" ht="23.25" x14ac:dyDescent="0.25">
      <c r="A5" s="24" t="s">
        <v>48</v>
      </c>
      <c r="B5" s="19">
        <v>332</v>
      </c>
      <c r="C5" s="19">
        <v>244</v>
      </c>
      <c r="D5" s="19">
        <f t="shared" si="0"/>
        <v>88</v>
      </c>
      <c r="E5" s="20">
        <f t="shared" si="1"/>
        <v>0.73493975903614461</v>
      </c>
      <c r="F5" s="19">
        <f t="shared" si="2"/>
        <v>22</v>
      </c>
      <c r="G5" s="19">
        <f t="shared" si="3"/>
        <v>3.6666666666666665</v>
      </c>
    </row>
    <row r="6" spans="1:7" ht="23.25" x14ac:dyDescent="0.25">
      <c r="A6" s="17" t="s">
        <v>49</v>
      </c>
      <c r="B6" s="18">
        <v>313</v>
      </c>
      <c r="C6" s="19">
        <v>249</v>
      </c>
      <c r="D6" s="19">
        <f t="shared" si="0"/>
        <v>64</v>
      </c>
      <c r="E6" s="20">
        <f t="shared" si="1"/>
        <v>0.79552715654952078</v>
      </c>
      <c r="F6" s="19">
        <f t="shared" si="2"/>
        <v>16</v>
      </c>
      <c r="G6" s="19">
        <f t="shared" si="3"/>
        <v>2.6666666666666665</v>
      </c>
    </row>
    <row r="7" spans="1:7" ht="23.25" x14ac:dyDescent="0.25">
      <c r="A7" s="24" t="s">
        <v>50</v>
      </c>
      <c r="B7" s="19">
        <v>389</v>
      </c>
      <c r="C7" s="19">
        <v>130</v>
      </c>
      <c r="D7" s="19">
        <f t="shared" si="0"/>
        <v>259</v>
      </c>
      <c r="E7" s="20">
        <f t="shared" si="1"/>
        <v>0.33419023136246789</v>
      </c>
      <c r="F7" s="19">
        <f t="shared" si="2"/>
        <v>64.75</v>
      </c>
      <c r="G7" s="19">
        <f t="shared" si="3"/>
        <v>10.791666666666666</v>
      </c>
    </row>
    <row r="8" spans="1:7" ht="23.25" x14ac:dyDescent="0.25">
      <c r="A8" s="17" t="s">
        <v>51</v>
      </c>
      <c r="B8" s="18">
        <v>353</v>
      </c>
      <c r="C8" s="19">
        <v>36</v>
      </c>
      <c r="D8" s="19">
        <f t="shared" si="0"/>
        <v>317</v>
      </c>
      <c r="E8" s="20">
        <f t="shared" si="1"/>
        <v>0.10198300283286119</v>
      </c>
      <c r="F8" s="19">
        <f t="shared" si="2"/>
        <v>79.25</v>
      </c>
      <c r="G8" s="19">
        <f t="shared" si="3"/>
        <v>13.208333333333334</v>
      </c>
    </row>
    <row r="9" spans="1:7" ht="23.25" x14ac:dyDescent="0.25">
      <c r="A9" s="24" t="s">
        <v>52</v>
      </c>
      <c r="B9" s="19">
        <v>435</v>
      </c>
      <c r="C9" s="19">
        <v>194</v>
      </c>
      <c r="D9" s="19">
        <f t="shared" si="0"/>
        <v>241</v>
      </c>
      <c r="E9" s="20">
        <f t="shared" si="1"/>
        <v>0.4459770114942529</v>
      </c>
      <c r="F9" s="19">
        <f t="shared" si="2"/>
        <v>60.25</v>
      </c>
      <c r="G9" s="19">
        <f t="shared" si="3"/>
        <v>10.041666666666666</v>
      </c>
    </row>
    <row r="10" spans="1:7" ht="23.25" x14ac:dyDescent="0.25">
      <c r="A10" s="17" t="s">
        <v>53</v>
      </c>
      <c r="B10" s="18">
        <v>201</v>
      </c>
      <c r="C10" s="19">
        <v>167</v>
      </c>
      <c r="D10" s="19">
        <f t="shared" si="0"/>
        <v>34</v>
      </c>
      <c r="E10" s="20">
        <f t="shared" si="1"/>
        <v>0.8308457711442786</v>
      </c>
      <c r="F10" s="19">
        <f t="shared" si="2"/>
        <v>8.5</v>
      </c>
      <c r="G10" s="19">
        <f t="shared" si="3"/>
        <v>1.4166666666666667</v>
      </c>
    </row>
    <row r="11" spans="1:7" ht="23.25" x14ac:dyDescent="0.25">
      <c r="A11" s="24" t="s">
        <v>54</v>
      </c>
      <c r="B11" s="19">
        <v>385</v>
      </c>
      <c r="C11" s="19">
        <v>184</v>
      </c>
      <c r="D11" s="19">
        <f t="shared" si="0"/>
        <v>201</v>
      </c>
      <c r="E11" s="20">
        <f t="shared" si="1"/>
        <v>0.47792207792207791</v>
      </c>
      <c r="F11" s="19">
        <f t="shared" si="2"/>
        <v>50.25</v>
      </c>
      <c r="G11" s="19">
        <f t="shared" si="3"/>
        <v>8.375</v>
      </c>
    </row>
    <row r="12" spans="1:7" ht="23.25" x14ac:dyDescent="0.25">
      <c r="A12" s="17" t="s">
        <v>55</v>
      </c>
      <c r="B12" s="18">
        <v>225</v>
      </c>
      <c r="C12" s="19">
        <v>141</v>
      </c>
      <c r="D12" s="19">
        <f t="shared" si="0"/>
        <v>84</v>
      </c>
      <c r="E12" s="20">
        <f t="shared" si="1"/>
        <v>0.62666666666666671</v>
      </c>
      <c r="F12" s="19">
        <f t="shared" si="2"/>
        <v>21</v>
      </c>
      <c r="G12" s="19">
        <f t="shared" si="3"/>
        <v>3.5</v>
      </c>
    </row>
    <row r="13" spans="1:7" ht="23.25" x14ac:dyDescent="0.25">
      <c r="A13" s="24" t="s">
        <v>56</v>
      </c>
      <c r="B13" s="19">
        <v>332</v>
      </c>
      <c r="C13" s="19">
        <v>190</v>
      </c>
      <c r="D13" s="19">
        <f t="shared" si="0"/>
        <v>142</v>
      </c>
      <c r="E13" s="20">
        <f t="shared" si="1"/>
        <v>0.57228915662650603</v>
      </c>
      <c r="F13" s="19">
        <f t="shared" si="2"/>
        <v>35.5</v>
      </c>
      <c r="G13" s="19">
        <f t="shared" si="3"/>
        <v>5.916666666666667</v>
      </c>
    </row>
    <row r="14" spans="1:7" ht="23.25" x14ac:dyDescent="0.25">
      <c r="A14" s="17" t="s">
        <v>57</v>
      </c>
      <c r="B14" s="18">
        <v>586</v>
      </c>
      <c r="C14" s="19">
        <v>188</v>
      </c>
      <c r="D14" s="19">
        <f t="shared" si="0"/>
        <v>398</v>
      </c>
      <c r="E14" s="20">
        <f t="shared" si="1"/>
        <v>0.32081911262798635</v>
      </c>
      <c r="F14" s="19">
        <f t="shared" si="2"/>
        <v>99.5</v>
      </c>
      <c r="G14" s="19">
        <f t="shared" si="3"/>
        <v>16.583333333333332</v>
      </c>
    </row>
    <row r="15" spans="1:7" ht="23.25" x14ac:dyDescent="0.25">
      <c r="A15" s="24" t="s">
        <v>58</v>
      </c>
      <c r="B15" s="19">
        <v>243</v>
      </c>
      <c r="C15" s="19">
        <v>99</v>
      </c>
      <c r="D15" s="19">
        <f t="shared" si="0"/>
        <v>144</v>
      </c>
      <c r="E15" s="20">
        <f t="shared" si="1"/>
        <v>0.40740740740740738</v>
      </c>
      <c r="F15" s="19">
        <f t="shared" si="2"/>
        <v>36</v>
      </c>
      <c r="G15" s="19">
        <f t="shared" si="3"/>
        <v>6</v>
      </c>
    </row>
    <row r="16" spans="1:7" ht="23.25" x14ac:dyDescent="0.25">
      <c r="A16" s="17" t="s">
        <v>59</v>
      </c>
      <c r="B16" s="18">
        <v>333</v>
      </c>
      <c r="C16" s="19">
        <v>118</v>
      </c>
      <c r="D16" s="19">
        <f t="shared" si="0"/>
        <v>215</v>
      </c>
      <c r="E16" s="20">
        <f t="shared" si="1"/>
        <v>0.35435435435435436</v>
      </c>
      <c r="F16" s="19">
        <f t="shared" si="2"/>
        <v>53.75</v>
      </c>
      <c r="G16" s="19">
        <f t="shared" si="3"/>
        <v>8.9583333333333339</v>
      </c>
    </row>
    <row r="17" spans="1:7" ht="23.25" x14ac:dyDescent="0.25">
      <c r="A17" s="24" t="s">
        <v>60</v>
      </c>
      <c r="B17" s="19">
        <v>502</v>
      </c>
      <c r="C17" s="19">
        <v>230</v>
      </c>
      <c r="D17" s="19">
        <f t="shared" si="0"/>
        <v>272</v>
      </c>
      <c r="E17" s="20">
        <f t="shared" si="1"/>
        <v>0.45816733067729082</v>
      </c>
      <c r="F17" s="19">
        <f t="shared" si="2"/>
        <v>68</v>
      </c>
      <c r="G17" s="19">
        <f t="shared" si="3"/>
        <v>11.333333333333334</v>
      </c>
    </row>
    <row r="18" spans="1:7" ht="23.25" x14ac:dyDescent="0.25">
      <c r="A18" s="17" t="s">
        <v>61</v>
      </c>
      <c r="B18" s="18">
        <v>365</v>
      </c>
      <c r="C18" s="19">
        <v>218</v>
      </c>
      <c r="D18" s="19">
        <f t="shared" si="0"/>
        <v>147</v>
      </c>
      <c r="E18" s="20">
        <f t="shared" si="1"/>
        <v>0.59726027397260273</v>
      </c>
      <c r="F18" s="19">
        <f t="shared" si="2"/>
        <v>36.75</v>
      </c>
      <c r="G18" s="19">
        <f t="shared" si="3"/>
        <v>6.125</v>
      </c>
    </row>
    <row r="19" spans="1:7" ht="23.25" x14ac:dyDescent="0.25">
      <c r="A19" s="24" t="s">
        <v>62</v>
      </c>
      <c r="B19" s="19">
        <v>155</v>
      </c>
      <c r="C19" s="19">
        <v>118</v>
      </c>
      <c r="D19" s="19">
        <f t="shared" si="0"/>
        <v>37</v>
      </c>
      <c r="E19" s="20">
        <f t="shared" si="1"/>
        <v>0.76129032258064511</v>
      </c>
      <c r="F19" s="19">
        <f t="shared" si="2"/>
        <v>9.25</v>
      </c>
      <c r="G19" s="19">
        <f t="shared" si="3"/>
        <v>1.5416666666666667</v>
      </c>
    </row>
    <row r="20" spans="1:7" ht="23.25" x14ac:dyDescent="0.25">
      <c r="A20" s="21" t="s">
        <v>45</v>
      </c>
      <c r="B20" s="22">
        <f>SUBTOTAL(109,B3:B19)</f>
        <v>5952</v>
      </c>
      <c r="C20" s="22">
        <f>SUBTOTAL(109,C3:C19)</f>
        <v>2855</v>
      </c>
      <c r="D20" s="22">
        <f>SUBTOTAL(109,D3:D19)</f>
        <v>3097</v>
      </c>
      <c r="E20" s="23">
        <f t="shared" si="1"/>
        <v>0.47967069892473119</v>
      </c>
      <c r="F20" s="22">
        <f>SUBTOTAL(109,F3:F19)</f>
        <v>774.25</v>
      </c>
      <c r="G20" s="22">
        <f>SUBTOTAL(109,G3:G19)</f>
        <v>129.04166666666666</v>
      </c>
    </row>
  </sheetData>
  <mergeCells count="1">
    <mergeCell ref="A1:G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المستهدف</vt:lpstr>
      <vt:lpstr>القطاعات</vt:lpstr>
      <vt:lpstr>شمال</vt:lpstr>
      <vt:lpstr>جنوب</vt:lpstr>
      <vt:lpstr>دمياط.</vt:lpstr>
      <vt:lpstr>كفر الشيخ.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2026-07-19T06:36:19Z</dcterms:modified>
</cp:coreProperties>
</file>